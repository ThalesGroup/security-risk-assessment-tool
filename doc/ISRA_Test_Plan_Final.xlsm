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T0286233\GitHub\D4\software-risk-assessment-tool\doc\"/>
    </mc:Choice>
  </mc:AlternateContent>
  <xr:revisionPtr revIDLastSave="0" documentId="13_ncr:1_{9515CDBD-10D3-4E3F-8508-4107424516F3}" xr6:coauthVersionLast="47" xr6:coauthVersionMax="47" xr10:uidLastSave="{00000000-0000-0000-0000-000000000000}"/>
  <bookViews>
    <workbookView xWindow="28680" yWindow="-120" windowWidth="29040" windowHeight="16440" tabRatio="613" activeTab="4" xr2:uid="{00000000-000D-0000-FFFF-FFFF00000000}"/>
  </bookViews>
  <sheets>
    <sheet name="Cover" sheetId="11" r:id="rId1"/>
    <sheet name="Document" sheetId="14" r:id="rId2"/>
    <sheet name="Summary" sheetId="4" state="hidden" r:id="rId3"/>
    <sheet name="VTR Sanity Tests for Android" sheetId="5" state="hidden" r:id="rId4"/>
    <sheet name="Test Cases" sheetId="7" r:id="rId5"/>
    <sheet name="Threat Agent &amp; Threat values" sheetId="15" r:id="rId6"/>
    <sheet name="Risk-default values" sheetId="13" r:id="rId7"/>
    <sheet name="Threat vs ImpactEval" sheetId="12" r:id="rId8"/>
    <sheet name="Report" sheetId="8" r:id="rId9"/>
    <sheet name="Environment" sheetId="10" state="hidden" r:id="rId10"/>
  </sheets>
  <definedNames>
    <definedName name="_xlnm._FilterDatabase" localSheetId="4" hidden="1">'Test Cases'!$D$1:$E$76</definedName>
    <definedName name="Z_31213FDE_1FC4_4753_AB26_CBCE91AA62C1_.wvu.Cols" localSheetId="9" hidden="1">Environment!$H:$N</definedName>
    <definedName name="Z_31213FDE_1FC4_4753_AB26_CBCE91AA62C1_.wvu.FilterData" localSheetId="4" hidden="1">'Test Cases'!$D$1:$E$76</definedName>
    <definedName name="Z_EFFDA75A_10D8_45FA_B94E_D29847D61BE9_.wvu.Cols" localSheetId="9" hidden="1">Environment!$H:$N</definedName>
    <definedName name="Z_EFFDA75A_10D8_45FA_B94E_D29847D61BE9_.wvu.FilterData" localSheetId="4" hidden="1">'Test Cases'!$D$1:$E$76</definedName>
  </definedNames>
  <calcPr calcId="191029"/>
  <customWorkbookViews>
    <customWorkbookView name="Mindtree - Personal View" guid="{31213FDE-1FC4-4753-AB26-CBCE91AA62C1}" mergeInterval="0" personalView="1" maximized="1" xWindow="-8" yWindow="-8" windowWidth="1616" windowHeight="876" tabRatio="617" activeSheetId="7"/>
    <customWorkbookView name="qq - Personal View" guid="{EFFDA75A-10D8-45FA-B94E-D29847D61BE9}" mergeInterval="0" personalView="1" maximized="1" xWindow="-8" yWindow="-8" windowWidth="1936" windowHeight="1056" tabRatio="617"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1" l="1"/>
  <c r="D8" i="4" l="1"/>
  <c r="E8" i="4"/>
  <c r="F8" i="4"/>
  <c r="G8" i="4"/>
  <c r="D9" i="4"/>
  <c r="E9" i="4"/>
  <c r="F9" i="4"/>
  <c r="G9" i="4"/>
  <c r="D10" i="4"/>
  <c r="E10" i="4"/>
  <c r="F10" i="4"/>
  <c r="G10" i="4"/>
  <c r="D15" i="4"/>
  <c r="E15" i="4"/>
  <c r="F15" i="4"/>
  <c r="G15" i="4"/>
  <c r="D16" i="4"/>
  <c r="E16" i="4"/>
  <c r="F16" i="4"/>
  <c r="G16" i="4"/>
  <c r="D17" i="4"/>
  <c r="E17" i="4"/>
  <c r="F17" i="4"/>
  <c r="G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cpierret</author>
  </authors>
  <commentList>
    <comment ref="E16" authorId="0" shapeId="0" xr:uid="{00000000-0006-0000-0100-000001000000}">
      <text>
        <r>
          <rPr>
            <b/>
            <sz val="9"/>
            <color indexed="81"/>
            <rFont val="Tahoma"/>
            <family val="2"/>
          </rPr>
          <t>The date should only be mentioned if its knowledge is necessary: when at least two documents exist with the same version number and a different production date</t>
        </r>
        <r>
          <rPr>
            <sz val="9"/>
            <color indexed="81"/>
            <rFont val="Tahoma"/>
            <family val="2"/>
          </rPr>
          <t xml:space="preserve">
</t>
        </r>
      </text>
    </comment>
    <comment ref="B23" authorId="0" shapeId="0" xr:uid="{00000000-0006-0000-0100-000002000000}">
      <text>
        <r>
          <rPr>
            <b/>
            <sz val="9"/>
            <color indexed="81"/>
            <rFont val="Tahoma"/>
            <family val="2"/>
          </rPr>
          <t>The references contained in this table can be used in the document and are for example:
- A separate annex
- A document directly derived from this one (for example the STS derived)
- …</t>
        </r>
        <r>
          <rPr>
            <b/>
            <sz val="9"/>
            <color indexed="81"/>
            <rFont val="Tahoma"/>
            <family val="2"/>
          </rPr>
          <t xml:space="preserve">
</t>
        </r>
        <r>
          <rPr>
            <sz val="9"/>
            <color indexed="81"/>
            <rFont val="Tahoma"/>
            <family val="2"/>
          </rPr>
          <t xml:space="preserve">
</t>
        </r>
      </text>
    </comment>
    <comment ref="B34" authorId="0" shapeId="0" xr:uid="{00000000-0006-0000-0100-000003000000}">
      <text>
        <r>
          <rPr>
            <b/>
            <sz val="9"/>
            <color indexed="81"/>
            <rFont val="Tahoma"/>
            <family val="2"/>
          </rPr>
          <t xml:space="preserve">The documents referenced in this table provide:
- A source of information
- A help for comprehension
They are not restrictive documents.
If a reference contained in this table provides information that helps reader to understand an idea, a reasoning, or…, then the reference must be included in the text.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cpierret</author>
    <author>ngilbert</author>
  </authors>
  <commentList>
    <comment ref="B1" authorId="0" shapeId="0" xr:uid="{00000000-0006-0000-0300-000001000000}">
      <text>
        <r>
          <rPr>
            <b/>
            <sz val="9"/>
            <color indexed="81"/>
            <rFont val="Tahoma"/>
            <family val="2"/>
          </rPr>
          <t>-A test objective will consist in a short and simple sentence, allowing a first test understanding
- To one test objective is corresponding one test, but one test can cover several test objectives (limit to define)</t>
        </r>
        <r>
          <rPr>
            <b/>
            <sz val="9"/>
            <color indexed="81"/>
            <rFont val="Tahoma"/>
            <family val="2"/>
          </rPr>
          <t xml:space="preserve">
</t>
        </r>
      </text>
    </comment>
    <comment ref="C1" authorId="0" shapeId="0" xr:uid="{00000000-0006-0000-0300-000002000000}">
      <text>
        <r>
          <rPr>
            <b/>
            <sz val="9"/>
            <color indexed="81"/>
            <rFont val="Tahoma"/>
            <family val="2"/>
          </rPr>
          <t xml:space="preserve">Name of the System test corresponding to the test objective. </t>
        </r>
        <r>
          <rPr>
            <b/>
            <sz val="9"/>
            <color indexed="81"/>
            <rFont val="Tahoma"/>
            <family val="2"/>
          </rPr>
          <t>Test name must be unique.</t>
        </r>
        <r>
          <rPr>
            <b/>
            <sz val="9"/>
            <color indexed="81"/>
            <rFont val="Tahoma"/>
            <family val="2"/>
          </rPr>
          <t xml:space="preserve">
</t>
        </r>
        <r>
          <rPr>
            <b/>
            <sz val="9"/>
            <color indexed="81"/>
            <rFont val="Tahoma"/>
            <family val="2"/>
          </rPr>
          <t xml:space="preserve">When NONE, to be justified with corresponding Scope Unit Test 
</t>
        </r>
        <r>
          <rPr>
            <b/>
            <sz val="9"/>
            <color indexed="81"/>
            <rFont val="Tahoma"/>
            <family val="2"/>
          </rPr>
          <t xml:space="preserve">
During draft definition of this VTP, tests names are not given (check crosses are used instead) the goal is only to distribute validation workload.
Lately, when tests are written, these crosses check are replaced with the test name. Test names follow special rules to be defined  (ex : S_NRM_xxx for system normal execution test, U_CTX_yyy for unit normal execution...)
- Moreover, tests defined during implementation will be added to this matrix, as even if they are not corresponding to a specific requirement, they are illustrating a specific criterion/behavior. 
- Test cases if they are mentioned in the FRS will be set as well in the VTP.
</t>
        </r>
      </text>
    </comment>
    <comment ref="D1" authorId="0" shapeId="0" xr:uid="{00000000-0006-0000-0300-000003000000}">
      <text>
        <r>
          <rPr>
            <b/>
            <sz val="9"/>
            <color indexed="81"/>
            <rFont val="Tahoma"/>
            <family val="2"/>
          </rPr>
          <t xml:space="preserve">ID coming from FRS.
</t>
        </r>
        <r>
          <rPr>
            <b/>
            <sz val="9"/>
            <color indexed="81"/>
            <rFont val="Tahoma"/>
            <family val="2"/>
          </rPr>
          <t>1 to n per Req. domain</t>
        </r>
        <r>
          <rPr>
            <sz val="9"/>
            <color indexed="81"/>
            <rFont val="Tahoma"/>
            <family val="2"/>
          </rPr>
          <t xml:space="preserve">
</t>
        </r>
      </text>
    </comment>
    <comment ref="E1" authorId="1" shapeId="0" xr:uid="{00000000-0006-0000-0300-000004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ngilbert</author>
  </authors>
  <commentList>
    <comment ref="A1" authorId="0" shapeId="0" xr:uid="{00000000-0006-0000-0400-000001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 ref="D1" authorId="0" shapeId="0" xr:uid="{00000000-0006-0000-0400-000002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sharedStrings.xml><?xml version="1.0" encoding="utf-8"?>
<sst xmlns="http://schemas.openxmlformats.org/spreadsheetml/2006/main" count="556" uniqueCount="411">
  <si>
    <t>Name</t>
  </si>
  <si>
    <t>Role</t>
  </si>
  <si>
    <t>Verified by</t>
  </si>
  <si>
    <t>Approved by</t>
  </si>
  <si>
    <t>Signature</t>
  </si>
  <si>
    <t>Test Objective</t>
  </si>
  <si>
    <t>Steps to Execute</t>
  </si>
  <si>
    <t>Expected Result</t>
  </si>
  <si>
    <t>Defect ID</t>
  </si>
  <si>
    <t>Comments</t>
  </si>
  <si>
    <t xml:space="preserve">To verify the launching of Secure Keypad
</t>
  </si>
  <si>
    <t xml:space="preserve">1. Launch the Secure Keypad application from device Application drawer. </t>
  </si>
  <si>
    <t xml:space="preserve">The application should launch the Secure Keypad application successfully. A configuration screen should be displayed.
</t>
  </si>
  <si>
    <t>Pre-Conditions</t>
  </si>
  <si>
    <t>User has installed Sample application on device.</t>
  </si>
  <si>
    <t>Sample application should be installed</t>
  </si>
  <si>
    <t>Enviroment Specification</t>
  </si>
  <si>
    <t>Android</t>
  </si>
  <si>
    <t>Platform</t>
  </si>
  <si>
    <t>Device Name</t>
  </si>
  <si>
    <t>Device Model</t>
  </si>
  <si>
    <t>Release Date</t>
  </si>
  <si>
    <t>Bugs Found</t>
  </si>
  <si>
    <t>Device OS Version</t>
  </si>
  <si>
    <t>S_NRM_001</t>
  </si>
  <si>
    <t>S_NRM_002</t>
  </si>
  <si>
    <t>S_NRM_003</t>
  </si>
  <si>
    <t>S_NRM_006</t>
  </si>
  <si>
    <t>S_NRM_010</t>
  </si>
  <si>
    <t>S_NRM_041</t>
  </si>
  <si>
    <t>S_NRM_045</t>
  </si>
  <si>
    <t>Pass</t>
  </si>
  <si>
    <t>Fail</t>
  </si>
  <si>
    <t>Not Tested</t>
  </si>
  <si>
    <t>TEST SUMMARY</t>
  </si>
  <si>
    <t>Total No TC's</t>
  </si>
  <si>
    <t>Environment</t>
  </si>
  <si>
    <t>Blocked</t>
  </si>
  <si>
    <t>To verify the UI of Secure Keypad Configuration screen in different orientation</t>
  </si>
  <si>
    <t>1.When Dialog mode is enabled then Dialog pop should get displayed for keypad config screen.</t>
  </si>
  <si>
    <t>Verify Dialog Mode</t>
  </si>
  <si>
    <t>Verify Double Mode</t>
  </si>
  <si>
    <t xml:space="preserve">Verify Logo </t>
  </si>
  <si>
    <t>Verify Scramble Keypad</t>
  </si>
  <si>
    <t>1.Verify scramble Keypad mode.
2.Verify Scramble empty keypad mode.
3.Verify Seed value</t>
  </si>
  <si>
    <t xml:space="preserve">1.When No logo is selected then logo won't get displayed in Keypad screen.
2.When Gemalto </t>
  </si>
  <si>
    <t>1.Verify Double Mode functionality</t>
  </si>
  <si>
    <t>Environment 1</t>
  </si>
  <si>
    <t>Environment 2</t>
  </si>
  <si>
    <t>Galaxy Note 2</t>
  </si>
  <si>
    <t>GT-N7100</t>
  </si>
  <si>
    <t>4.4.2</t>
  </si>
  <si>
    <t>1.Verify Logo option when user select No Logo and Gemalto Logo</t>
  </si>
  <si>
    <t xml:space="preserve">
1.Observe the UI of Secure Keypad Configuration screen in different orientation.
2.Select dropdown for various fields and verify UI 
</t>
  </si>
  <si>
    <t>1.Verify Dialog Mode functionality</t>
  </si>
  <si>
    <t>1.When Double mode is enabled then two text box along with entered label should get displayed in keypad config screen.
Once user enter the text for both the fields then in config screen first input and second input along with entered text should get displayed</t>
  </si>
  <si>
    <t>System Test Number</t>
  </si>
  <si>
    <t>SANITY TEST REPORT</t>
  </si>
  <si>
    <t>Verify Fields i.e. Keys, Text label and Second Text label</t>
  </si>
  <si>
    <t>1.Verify Keys, Label Text and key input</t>
  </si>
  <si>
    <t>1.Keys field is mandatory field. User need to entered text for Keys field. Label field is optional</t>
  </si>
  <si>
    <t xml:space="preserve">1.When Scramble Keypad is enabled then entered characters in keypad should get displayed in scramble manner.
2.Disable button in keypad should get displayed randomly when scramble empty keypad mode is enabled.
3.Seed value is mandatory field and even though same seed value is present in keypad screen scrambled value gets displayed
</t>
  </si>
  <si>
    <t>FRS ID</t>
  </si>
  <si>
    <t>NA</t>
  </si>
  <si>
    <t>F#_3148_E</t>
  </si>
  <si>
    <t>F#_3180_E,F#_3181_E,F#_3182_E,F#_3183_E</t>
  </si>
  <si>
    <t>F#_3152_E</t>
  </si>
  <si>
    <t>F#3172_SE_E,F#3173_E,F#_3147_E</t>
  </si>
  <si>
    <t>F#_3122_E,F#_3126_E,F#_3127_E,F#_3128_E,F#_3129_E,F#_3130_E</t>
  </si>
  <si>
    <t>SYSTEM TEST REPORT</t>
  </si>
  <si>
    <t xml:space="preserve">
1. Configure keypad screen should have following elements:
&gt; Dialog Mode (On/Off button)
&gt; Double Password Mode (On/Off button)
&gt; Keys (empty text field by default) 
&gt; Text Label (empty text field by default)
&gt; Second Text Label (Available only when double password mode is On)
&gt; Text Label Color (drop-down)
&gt;TextBox Border Focus Color(drop-down)
&gt;TextBox Border UnFocus Color(drop-down)
&gt;TextBox Background Focus Color(drop-down)
&gt;TextBox Background UnFocus Color(drop-down)
&gt;Button Spacing(drop-down)
&gt; Button Spacing Color (drop-down)
&gt; Background Color (drop-down)
&gt;Background Image (drop-down)
&gt; Character Color (drop-down)
&gt; Character Color Selected (drop-down)
&gt; Character Color Disable (drop-down)
&gt; Button Gradient Start (drop-down)
&gt; Button Gradient End (drop-down)
&gt; Button Gradient Selected Start(drop-down)
&gt; Button Gradient Selected End (drop-down)
&gt; Button Gradient Disable Start (drop-down)
&gt; Button Gradient Disable End (drop-down)
&gt; Automatic OK (On/Off button)
&gt; Number of Rows (drop-down)
&gt; Number of Columns (drop-down)
&gt; Minimum Input Length (drop-down)
&gt; Maximum Input Length (drop-down)
&gt; Label Text Size
&gt; Input Text Size
&gt; Key Font Size
&gt; Logo 
&gt;Logo Postion:Left,Right and Center 
&gt;Logo Bar Color
&gt;Scramble Keypad Mode with On/Off option.
Enable Scramble Keypad mode
&gt;Enter the Seed Value.
&gt;Scramble Empty Key with On/Off option.
&gt; Show keypad button
&gt; First Input (displays the output of secure keypad)
&gt; Second Input  (Available only when double password mode is On)
Note: First and second Input is displayed at top in Android platform.
</t>
  </si>
  <si>
    <t>2.2.1</t>
  </si>
  <si>
    <t>GT-S5570</t>
  </si>
  <si>
    <t>Galaxy Tab10</t>
  </si>
  <si>
    <t>4.1.2</t>
  </si>
  <si>
    <t>GT-P5100</t>
  </si>
  <si>
    <t>Galaxy mini</t>
  </si>
  <si>
    <t>Due to device limitation its will get displayed in small font.If size is increased then logo placeholder is occupying more space.</t>
  </si>
  <si>
    <t>Sony Experia(V2.3.7)</t>
  </si>
  <si>
    <t>Samsung  Galaxy E7(V4.4)</t>
  </si>
  <si>
    <t>MI Tablet (V4.4)</t>
  </si>
  <si>
    <t>Test Results
(Pass/Fail) 
on 
Samsung Galaxy(2.3.6)</t>
  </si>
  <si>
    <t>Test Results
(Pass/Fail) 
on 
Mi Tablet(4.4.4)</t>
  </si>
  <si>
    <t>Test Results
(Pass/Fail) 
on 
Samsung Galaxy S6(6.0.1)</t>
  </si>
  <si>
    <t>Test Results
(Pass/Fail) 
on 
LG P350(2.2.2)</t>
  </si>
  <si>
    <t>Test Results
(Pass/Fail) 
on 
LG Nexus 5X(7.1.1)</t>
  </si>
  <si>
    <t>Test Results
(Pass/Fail) 
on 
Sony Xperia Z3(5.1.1)</t>
  </si>
  <si>
    <t>Result</t>
  </si>
  <si>
    <t>Defect</t>
  </si>
  <si>
    <t>Test cases Passed</t>
  </si>
  <si>
    <t>Test cases Failed</t>
  </si>
  <si>
    <t>Overall</t>
  </si>
  <si>
    <t>Total number of test cases</t>
  </si>
  <si>
    <t>Product Owner</t>
  </si>
  <si>
    <t>Yap Swee Swee</t>
  </si>
  <si>
    <t>Carl Eric Codere</t>
  </si>
  <si>
    <t>Megan Liow Song Ting</t>
  </si>
  <si>
    <t>1. Launch the ISRA risk assessment application from device.</t>
  </si>
  <si>
    <t xml:space="preserve">The application should launch the ISRA risk assessment application successfully. The Welcome screen should be displayed.
</t>
  </si>
  <si>
    <t>All the rich text are displayed accordingly.</t>
  </si>
  <si>
    <t xml:space="preserve">3. Click on Project Descriptive Documet and select Save As to save file locally. </t>
  </si>
  <si>
    <t>A separate browser window is displayed with content based on hyperlink.</t>
  </si>
  <si>
    <t>Filename is no longer displayed. A new file may be attached.</t>
  </si>
  <si>
    <t>Hyperlink in Project URL is no longer displayed. A new hyperlink may be inserted.</t>
  </si>
  <si>
    <t>4. Click on Project Descriptive Documet and select Remove to remove file.</t>
  </si>
  <si>
    <t>Hyperlink in GTO Defect URL is no longer displayed. A new hyperlink may be inserted.</t>
  </si>
  <si>
    <t xml:space="preserve">19. Click and select Save As to save file locally. </t>
  </si>
  <si>
    <t>20. Click and select Remove to remove file.</t>
  </si>
  <si>
    <t xml:space="preserve">1. Risks are created with Ids running in ascending order. Every new Risk is added at the last row of Risks table.                                                                              </t>
  </si>
  <si>
    <t>13. Click Replace with Manual Risk Name button.                                       14. Input text in text box for Risk Name.</t>
  </si>
  <si>
    <r>
      <t xml:space="preserve">Risk evaluation section:                                                                            </t>
    </r>
    <r>
      <rPr>
        <b/>
        <sz val="10"/>
        <rFont val="Arial"/>
        <family val="2"/>
      </rPr>
      <t>Likelihood evaluation:</t>
    </r>
    <r>
      <rPr>
        <sz val="10"/>
        <rFont val="Arial"/>
        <family val="2"/>
      </rPr>
      <t xml:space="preserve">                                                                               1. Click on each drop down for each likelihood factor (skill level, etc.).          2. Select a likelihood factor for each dropdown.                                          3. Input text in rich text box for justifying likelihood evaluation.                                       
</t>
    </r>
  </si>
  <si>
    <t xml:space="preserve">7. Click Replace with OWASP Likelihood Evaluation Method button.  </t>
  </si>
  <si>
    <t>7. Click on Delete button to remove checked Vulnerability(ies)</t>
  </si>
  <si>
    <t>5. Select Reduce(Mitigate) option for Risk Management Decision in Risk Management section.</t>
  </si>
  <si>
    <t>6. A row consisting of a column of radio buttons for Risk Mitigation decision, rich text box for decision comment are displayed and added at the bottom of each Risk Mitigation.</t>
  </si>
  <si>
    <t>1. If Risk Mitigation Decision selected is Accepted, Mitigated Risk Score is updated. If Risk Mitigation Decision is Done, Mitigated, Residual Risk scores and Residual Risk Level are updated                                                                                   2. Rich text for decision comment is displayed.</t>
  </si>
  <si>
    <t>2. Input text in rich text box for Decision Details.</t>
  </si>
  <si>
    <t xml:space="preserve">1. On top left hand corner, click on File.                                                    </t>
  </si>
  <si>
    <t>1. A popup dialog asks the user to open an xml/json project from a selected local directory path.                                                  2. A valid xml/json file opened in application will display its content accordingly in the screens.                                            3. An invalid xml/json file will not open and display a popup dialog error message.</t>
  </si>
  <si>
    <t xml:space="preserve">1. On top left hand corner, click on Edit.                                                    </t>
  </si>
  <si>
    <t>Table rows that do not contain value in filter search box are filtered out and not shown. Rows that contain value in filter search box remain displayed.</t>
  </si>
  <si>
    <t>Rich text for Decision Details is displayed.</t>
  </si>
  <si>
    <t>Drop down options include Undo, Redo, Cut, Copy, Paste for text inputs (keyboard cmds may be used)</t>
  </si>
  <si>
    <t>Options to Save, Save As, Open File, Print, Exit are displayed in drop down.</t>
  </si>
  <si>
    <t xml:space="preserve">Inherent, Mitigated, Residual Risk Scores and Residual Risk Level are updated. </t>
  </si>
  <si>
    <t>The Vulnerability(ies) deleted are no longer displayed. Vulnerability scoring of the worst attack path is updated. Inherent, Mitigated, Residual Risk Scores and Residual Risk Level are updated. Risk Name is updated.</t>
  </si>
  <si>
    <t xml:space="preserve">All factors skill level, skill level, reward, access resources, size, intrusion detection, occurrence, are unselected. Matrix table is empty. </t>
  </si>
  <si>
    <t xml:space="preserve">1. All the tabs required are displayed at the top: Welcome, Project Context (bolded), Business Assets, Supporting Assets, Risks, Vulnerabilities
2. Screen is divided into 4 sections: Project Description, Security Project Objectives, Security Officer Objectives, Assumptions. Each section consists of a rich text box. Tooltips of each rich text boxes are displayed when hovered.                                   
3. Project Description allows user to insert a hyperlink in Project URL and attach a file in Project Descriptive Document.
</t>
  </si>
  <si>
    <t>1. Default value of url in text field in modal is displayed as placeholder.                                                                          
2. Input value of url in text field in modal is displayed in Project URL.</t>
  </si>
  <si>
    <t>1. Click on Project Context tab button.                                                      
2. Observe the UI of Project Context screen.</t>
  </si>
  <si>
    <t>1. Input rich text in Project Description field.
2. Input rich text in Security Project Objectives field.
3. Input rich text in Security Officer Objectives field.                                    
4. Input rich text in Assumptions field.</t>
  </si>
  <si>
    <t>1. Click on Project URL to insert a hyperlink.                                              
2. Input value of url in text field in modal.                                                    
3. Click ok button in modal.</t>
  </si>
  <si>
    <t>4. Click on inserted hyperlink in Project URL.                                             
5. Exit this browser window.</t>
  </si>
  <si>
    <t>6. Click on Project URL to remove hyperlink.                                              
7. Remove value of url in text field in modal.</t>
  </si>
  <si>
    <t>1.Displays native system dialog for saving files in local directory.   
2. File is saved and displayed in selected path.</t>
  </si>
  <si>
    <t>1. Click on Business Assets tab button.                                                      
2. Observe the UI of Business Assets screen.</t>
  </si>
  <si>
    <t>1. All the tabs required are displayed at the top: Welcome, Project Context, Business Assets (bolded), Supporting Assets, Risks, Vulnerabilities.                                                                                          
2. Displays explanation about Business Assets and its security properties.                                                                                
3. 1 Business Asset section is displayed consisting of a table with the columns: Name, Asset Values: Type, Confidentiality, Integrity, Availability, Authenticity, Authorization, Non repudiation. All the asset values are set to High. A checkbox is on its top left. Id of Business Asset is written beside Name header column.</t>
  </si>
  <si>
    <r>
      <t xml:space="preserve">3. Input the Name of Business Asset in text field in table.                            
4. Click on each security properties/Asset Values.                                      
5. Select each Asset Value.                                                                                                          
6. Input rich text in Description field.                                                                                                                                       </t>
    </r>
    <r>
      <rPr>
        <b/>
        <u/>
        <sz val="10"/>
        <rFont val="Arial"/>
        <family val="2"/>
      </rPr>
      <t/>
    </r>
  </si>
  <si>
    <t xml:space="preserve">1. Business Asset Name is displayed. In Risks tab, Business Asset drop down option label is updated. In Supporting Assets tab, Business Asset link(s) drop down option labels are updated.                                        
2. Values from dropdowns should display accordingly. Type: Data, Service. Others: N/A, Low, Medium, High, Critical.              
3. Tooltips for all columns in table are displayed when hovered.     
4. Selected Asset Values are displayed. In Risks tab, Impact evaluation table's value column is updated.         </t>
  </si>
  <si>
    <r>
      <t xml:space="preserve">1. Click on Add button.                                                                            
2. Input values in added Business Asset Section.                                        
3. Repeat steps 1-2 until all Business Assets are created.                                                       </t>
    </r>
    <r>
      <rPr>
        <b/>
        <u/>
        <sz val="10"/>
        <rFont val="Arial"/>
        <family val="2"/>
      </rPr>
      <t/>
    </r>
  </si>
  <si>
    <t>1. Click on Supporting Assets tab button.                                                      
2. Observe the UI of Supporting Assets screen.</t>
  </si>
  <si>
    <r>
      <t xml:space="preserve">3. Input the Name of Supporting Asset in text field in table.                            
4. Click on Type.                                                                                   
5. Select a Type in drop down.                                                                                                          
6. Click on Network Security Level.                                                          
7. Select a Network Security Level in drop down.                                                           
8. Click on Id.                                                                                                                                     </t>
    </r>
    <r>
      <rPr>
        <b/>
        <u/>
        <sz val="10"/>
        <rFont val="Arial"/>
        <family val="2"/>
      </rPr>
      <t/>
    </r>
  </si>
  <si>
    <r>
      <rPr>
        <b/>
        <sz val="10"/>
        <rFont val="Arial"/>
        <family val="2"/>
      </rPr>
      <t>Product architecture diagram:</t>
    </r>
    <r>
      <rPr>
        <sz val="10"/>
        <rFont val="Arial"/>
        <family val="2"/>
      </rPr>
      <t xml:space="preserve">                                                                                                           
1. Click on Insert in rich text box.                                                              
2. Click on Image in dropdown.                                                                 
3. Click on Source icon.                                                                           
4. Select an image from local directory.                                                      
5. Click Save button.                                                                                
6. Adjust image size.</t>
    </r>
  </si>
  <si>
    <t>1. Image is displayed in rich text box.                                         
2. Image size's height and width is altered accordingly.                
3. Accepted image formats include: png, jpg, jpeg, gif</t>
  </si>
  <si>
    <r>
      <rPr>
        <b/>
        <sz val="10"/>
        <rFont val="Arial"/>
        <family val="2"/>
      </rPr>
      <t>List of Supporting Assets:</t>
    </r>
    <r>
      <rPr>
        <sz val="10"/>
        <rFont val="Arial"/>
        <family val="2"/>
      </rPr>
      <t xml:space="preserve">                                                                      
1. Click on Add button.                                                                             
2. Input values in added Supporting Asset row.                                        
3. Repeat steps 1-2 until all Supporting Assets are created.                                                       </t>
    </r>
    <r>
      <rPr>
        <b/>
        <u/>
        <sz val="10"/>
        <rFont val="Arial"/>
        <family val="2"/>
      </rPr>
      <t/>
    </r>
  </si>
  <si>
    <t>1. Supporting Asset rows are created with Ids running in ascending order. Every new Supporting Asset is added at the last row.                                                                                         
2. In Risks tab, Supporting Asset drop down options are updated. In Vulnerabilities tab, Supporting Asset checkbox labels are added accordingly.</t>
  </si>
  <si>
    <r>
      <rPr>
        <b/>
        <sz val="10"/>
        <rFont val="Arial"/>
        <family val="2"/>
      </rPr>
      <t>Supporting Asset / Business Assets Relationship Matrix</t>
    </r>
    <r>
      <rPr>
        <sz val="10"/>
        <rFont val="Arial"/>
        <family val="2"/>
      </rPr>
      <t xml:space="preserve">:                             
1. Click Add button to add number of linked Business Asset(s) accordingly.                
2. Click on dropdown.                                                                               
3. Select a Business Asset from dropdown.                                               
4. Repeat steps 1-3 until all Supporting Assets are linked with the corresponding Business Asset(s).                                               </t>
    </r>
    <r>
      <rPr>
        <b/>
        <u/>
        <sz val="10"/>
        <rFont val="Arial"/>
        <family val="2"/>
      </rPr>
      <t/>
    </r>
  </si>
  <si>
    <t>1. Each row in Relationship Matrix table has a Supporting Asset Name and its corresponding Business Asset(s) being displayed.                                                                                
2. Supporting Asset Name is bolded red if there are duplicate Business Assets selected and/or a dropdown is added but no Business Asset is being selected.                                             
3. Selected Business Asset link(s) are displayed. In Risks tab, Business Asset drop down options for each Supporting Asset drop down option are added accordingly.</t>
  </si>
  <si>
    <t>5. Check the checkbox(es) of Business Asset dropdown.                           
6. Click on correspoding Relationship Matrix table row's Delete button.</t>
  </si>
  <si>
    <t>1. Checked Business Asset link(s) are removed from Relationship Matrix table row accordingly. Supporting Asset Name styling is updated accordingly.                                         
2. In Risks tab, Business Asset drop down options for each Supporting Asset drop down option are removed accordingly.</t>
  </si>
  <si>
    <t>1. Click on Vulerabilities tab button.                                                                   
2. Observe the UI of Vulnerabilities screen.</t>
  </si>
  <si>
    <t xml:space="preserve">1. All the tabs required are displayed at the top: Welcome, Project Context, Business Assets, Supporting Assets, Risks, Vulnerabilities (bolded).                                                                                          
2. Displays a filter search box.                                                                    
3. Displays a row of Vulnerability in table, has columns: Vuln. Id, Project Version, Vuln. Name, Vuln. Level. Vuln. Id has a value of 1. Vuln. Level has a level of Medium (color: orange).                      
4. Section displays value of Vulnerability Id, a text box for Vulnerability Name, a text box for GTO Defect ID, a hyperlink insertion for GTO Defect URL, drop down for Vulnerability Family, rich text box for Vulnerability description, a file attachment option, checkboxes of Supporting Asset Name labels, a text box for Vulnerability CVE, a numerical box for Vulnerability Scoring and the calculated, stylised Vulnerability Level. </t>
  </si>
  <si>
    <r>
      <t xml:space="preserve">3. Input the Name of Vulnerability in text box.                                                    
4. Input GTO Defect ID in text box.                                                                                                                 
5. Select a Vulnerability Family in drop down.                                            
6. Input rich text in Vulnerability description in rich text box.                                              
7. Check current Supporting Asset checkbox(es)                                       
8. Input Vulnerability CVE string in text box.                                                         
9. Input Vulnerability Scoring in text box.                                                                                                                                     </t>
    </r>
    <r>
      <rPr>
        <b/>
        <u/>
        <sz val="10"/>
        <rFont val="Arial"/>
        <family val="2"/>
      </rPr>
      <t/>
    </r>
  </si>
  <si>
    <t xml:space="preserve">1. Vulnerability Name, GTO Defect ID, Vulnerability description, Vulnerability CVE, Vulnerability scoring are displayed. In Risks tab, Vulnerability Name or for each attack path is updated accordingly. Vulnerability Name is bolded red if there is no Vulnerability description, one or more checked Supporting Assets.                                                                                 
2. Vulnerability Level is updated: Low (color: black), Medium  (color: orange), High (color: red) according to Vulnerability Scoring. In Risks tab, Attack Path Score, vulnerability scoring of worst attack path, Inherent risk score, Mitigated risk score, Residual risk score, Residual risk level are updated for linked Risks.                                                                                      
3. Values from dropdown should get displayed.                           
4. Selected Vulnerability Family is displayed.                              
5. Checked Supporting Assets remain checked.                           </t>
  </si>
  <si>
    <t>10. Click on GTO Defect URL to insert a hyperlink.                                              
11. Input value of url in text field in modal.                                                    
12. Click ok button in modal.</t>
  </si>
  <si>
    <t>1. Default value of url in text field in modal is displayed as placeholder.                                                                          
2. Input value of url in text field in modal is displayed in GTO Defect URL.</t>
  </si>
  <si>
    <t>13. Click on inserted hyperlink in GTO Defect URL.                                             
14. Exit this browser window.</t>
  </si>
  <si>
    <t>15. Click on GTO Defect URL to remove hyperlink.                                              
16. Remove value of url in text field in modal.</t>
  </si>
  <si>
    <t>17.Click and select Attach to attach a new file.                                                                                                       
18. Select file from local directory.</t>
  </si>
  <si>
    <t>1.Displays native system dialog for attaching files from local directory.                                                                                
2. Selected filename is displayed.                                               
3. Accepted file formats: json, png, docx, doc, jpg, jpeg, pdf, xml, csv, xlsx, ppt, txt</t>
  </si>
  <si>
    <r>
      <t xml:space="preserve">1. Click on Add button.                                                                             
2. Click on added Vulnerability row.                                                                                                        
3. Input data in fields of added Vulnerability row.                                            
4. Repeat steps 1-3 until all Vulnerabilities are created.                                                       </t>
    </r>
    <r>
      <rPr>
        <b/>
        <u/>
        <sz val="10"/>
        <rFont val="Arial"/>
        <family val="2"/>
      </rPr>
      <t/>
    </r>
  </si>
  <si>
    <t xml:space="preserve">1. Vulnerability rows are created with Ids running in ascending order. Every new Vulnerability is added at the last row. In Risks tab, attack path drop down options are added accordingly.                                                                                         
2. Data is populated according to the Vulnerability row clicked. </t>
  </si>
  <si>
    <t>1. Click on Risks tab button.                                                                   
2. Observe the UI of Risks screen.</t>
  </si>
  <si>
    <r>
      <t xml:space="preserve">1. Click on Add button.                                                                                                                     
2. Repeat steps 1 until all Risks are created.                                                       </t>
    </r>
    <r>
      <rPr>
        <b/>
        <u/>
        <sz val="10"/>
        <rFont val="Arial"/>
        <family val="2"/>
      </rPr>
      <t/>
    </r>
  </si>
  <si>
    <t xml:space="preserve">Risk description section:                                                                          
1. Click on drop down for Threat Agent.                                                      
2. Select a Threat Agent.                                                                         
3. Input text in rich text box for Threat Agent.                                             
4. Click on drop down for Threat.                                                               
5. Select a Threat.                                                                                   
6. Input text in rich text box for Threat.                                                       
7. Click on drop down for Business Asset.                                                 
8. Select a Business Asset.                                                                     
9. Click on drop down for Supporting Asset.                                                 
10. Select a Supporting Asset.                                                                 
11. Input text in text box for Motivation.                                                      
12. Input text in rich text box for Motivation.
</t>
  </si>
  <si>
    <t>4. Click Replace with Simple Likelihood Evaluation Method button.              
5. Click on drop down for Risk Likelihood level.                                           
6. Select a Risk Likelihood level from drop down.</t>
  </si>
  <si>
    <t>2. Click on Add button to add attack path(s)                                               
3. Click on Delete button to remove checked Attack Path(s)</t>
  </si>
  <si>
    <t xml:space="preserve">1. For every Attack Path added after the previous Attack Path, a section consisting of a checkbox, an Add button and Delete button, a drop down for Vulnerability, are displayed. (OR is displayed after every attack path added). Risk Name is updated.                                     
2. The Attack Path(s) deleted are no longer displayed. Risk Name is updated.                                  </t>
  </si>
  <si>
    <t xml:space="preserve">1. Drop down(s) for Vulnerability is added. (AND is displayed after every drop down added). Risk Name is updated.                          
2. Values of drop down(s) should display the current Vulnerability(ies).                                                                      
3. Selected Vulnerability is displayed. Scoring of its Attack Path is updated. Vulnerability scoring of the worst attack path is updated. Inherent, Mitigated, Residual Risk Scores and Residual Risk Level are updated. Risk Name is updated.   </t>
  </si>
  <si>
    <t>4. Click on Add button to add vulnerability(ies)                                            
5. Click on drop down(s) for Vulnerability.                                                   
6. Select a Vulnerability for each drop down.</t>
  </si>
  <si>
    <t>1. Each Risk Mitigation section added consists of a checkbox beside itself, a rich text box for security control description, a column of radio buttons for expected benefits, a numerical input box for estimated cost.                                                              
2. Rich text for security control description is displayed.              
3. Selected expected benefits radio button is checked. Mitigated, Residual Risk scores and Residual Risk Level are updated if Mitigation Decision selected is Done (displayed if Risk Managment Decision in Risk Management selected is Reduced(Mitigate) ).                                                               
4. Numerical value of estimated cost is displayed. Border is red if input is not an integer. Tooltip shown when hovered.</t>
  </si>
  <si>
    <t>6. Select a Mitigation Decision option from radio buttons.                            
7. Input text in rich text box for decision comment.</t>
  </si>
  <si>
    <t>8. Check Risk Mitigation section checkbox(es)                                          
9. Click on Delete button to remove checked Risk Mitigation section(s)</t>
  </si>
  <si>
    <t>1. Checked Risk Mitigation sections are no longer displayed. Unchecked Risk Mitigation sections remain.                               
2. Mitigated, Residual Risk scores and Residual Risk Level are updated.</t>
  </si>
  <si>
    <t>1. By default, Not Defined decision is checked/selected.              
2. If Risk Management Decision in Risk Management selected is Reduced(Mitigate), row consisting of a column of radio buttons for Risk Mitigation decision, rich text box for decision comment are displayed and added at the bottom of each Risk Mitigation. If other Risk Management Decision(s) are selected, these row(s) are not displayed.</t>
  </si>
  <si>
    <t>1. Click on ISRA Report tab button.                                                                   
2. Observe the UI of ISRA Report screen.</t>
  </si>
  <si>
    <t>2. Select Save option.                                                                              
3. Input json filename</t>
  </si>
  <si>
    <t xml:space="preserve">1. If current project opened is from a JSON file, project is automatically saved and its content overrides this JSON file. A popup dialog displays a success message.                                
2. Else a popup dialog asks the user to save project in a selected local directory path as a JSON file. If this JSON file is successfully created, a popup dialog displays a success message with the path the file is saved to locally.                         
3. If there are validation errors, a validation error message is displayed in a popup dialog and user may select Yes to accept validation errors and save project or No to reject the validation errors and discontinue saving the project.                                    </t>
  </si>
  <si>
    <t>4. Select Save As option.                                                                         
5. Input json filename</t>
  </si>
  <si>
    <t>1. A popup dialog asks the user to save project in a selected local directory path as a JSON file. If this JSON file is successfully created, a popup dialog displays a success message with the path the file is saved to locally.                        
2. If there are validation errors, a validation error message is displayed in a popup dialog and user may select Yes to accept validation errors and save project or No to reject the validation errors and discontinue saving the project.</t>
  </si>
  <si>
    <t>8. Select Print option.                                                                                
9. Input pdf filename.</t>
  </si>
  <si>
    <t>1. On the top-right corner, click on tab button to shrink window size.                  
2. On the top-right corner, click on tab button to hide window.</t>
  </si>
  <si>
    <t>1. Window is able to shrink until content's size.                           
2. Click on application icon in device to show window of application again.</t>
  </si>
  <si>
    <t>Entity</t>
  </si>
  <si>
    <t xml:space="preserve">DIS: Thales DIS </t>
  </si>
  <si>
    <t>DTC</t>
  </si>
  <si>
    <t>Reference</t>
  </si>
  <si>
    <t>XXXXXXXX</t>
  </si>
  <si>
    <r>
      <t>Revision</t>
    </r>
    <r>
      <rPr>
        <sz val="10"/>
        <color theme="1"/>
        <rFont val="Arial"/>
        <family val="2"/>
      </rPr>
      <t xml:space="preserve"> </t>
    </r>
  </si>
  <si>
    <t xml:space="preserve">Classification </t>
  </si>
  <si>
    <t>Pages</t>
  </si>
  <si>
    <t>Date</t>
  </si>
  <si>
    <t>(yyyy-mm-dd)</t>
  </si>
  <si>
    <t>Written by</t>
  </si>
  <si>
    <t>Distribution List (optional)</t>
  </si>
  <si>
    <t>Software Test Plan</t>
  </si>
  <si>
    <t xml:space="preserve">ISRA software-risk-assessment-tool </t>
  </si>
  <si>
    <t>Test ID</t>
  </si>
  <si>
    <t>Review comments</t>
  </si>
  <si>
    <t>THALES GROUP LIMITED DISTRIBUTION</t>
  </si>
  <si>
    <t xml:space="preserve">1. All the tabs required are displayed at the top: Welcome (bolded), Project Context, Business Assets, Supporting Assets, Risks, Vulnerabilities. App Version is displayed.                                                 
2. Organization dropdown has red border                                 
3. Iteration History table has 1 row that displays a checkbox, the Iteration, Security Officer, Date, and Description. The Security Officer displays the value of current os user. The Date displays the value of current date in the format yyyy-mm-dd.                       
4. Displays information about Purpose and Scope, Terminology, Methodology. </t>
  </si>
  <si>
    <t>Need to add Pre-requisite for this test
Pre-requisite: On Project Context screen</t>
  </si>
  <si>
    <t>Need to add Pre-requisite for this test
Pre-requisite: Perform below test step after TC007</t>
  </si>
  <si>
    <t>Need to add Pre-requisite for this test
Pre-requisite: Perform below test step after TC008</t>
  </si>
  <si>
    <t>Missing "Test objective" in the doc.
For this test, the test objective will be something like
Verify application can be opened sucessfully</t>
  </si>
  <si>
    <t>Need to add Pre-requisite for this test
Pre-requisite: On Business Assets screen</t>
  </si>
  <si>
    <t>This test case need pre-requisite
Pre-requisite: Perform below test step after TC014
Typo in expected result 3.  "Busisness"</t>
  </si>
  <si>
    <t>This test case need pre-requisite
Pre-requisite: On Supporting Assets screen</t>
  </si>
  <si>
    <t xml:space="preserve">This test case need pre-requisite
Pre-requisite: On Vulnerabilities screen
</t>
  </si>
  <si>
    <t xml:space="preserve">This test case need pre-requisite
Pre-requisite: Perform below test step after TC025
</t>
  </si>
  <si>
    <t xml:space="preserve">This test case need pre-requisite
Pre-requisite: Perform below test step after TC026
</t>
  </si>
  <si>
    <t xml:space="preserve">This test case need pre-requisite
Pre-requisite: Perform below test step after TC027
</t>
  </si>
  <si>
    <t xml:space="preserve">This test case need pre-requisite
Pre-requisite: Perform below test step after TC028
</t>
  </si>
  <si>
    <t>This test case need pre-requisite
Pre-requisite: Perform below test step after TC030</t>
  </si>
  <si>
    <t>Welcome screen</t>
  </si>
  <si>
    <t>Project Context Screen</t>
  </si>
  <si>
    <t>Business Assets Screen</t>
  </si>
  <si>
    <t>Vulnerabilities screen</t>
  </si>
  <si>
    <t>Supporting Assets Screen</t>
  </si>
  <si>
    <t>Risk screen</t>
  </si>
  <si>
    <t>ISRA Report Screen</t>
  </si>
  <si>
    <t>Add 1 more test case/test step to verify updated fields, link and attachment are remaining the same after save and reopen</t>
  </si>
  <si>
    <t>Add 1 more test case/test step to verify no file is attached after save and reopen</t>
  </si>
  <si>
    <t xml:space="preserve">This test case need pre-requisite
Pre-requisite: Perform below test step after TC024
</t>
  </si>
  <si>
    <t>This test case need pre-requisite
Pre-requisite: Perform below test step after TC029</t>
  </si>
  <si>
    <t>Expected result
point 4 has mistake. 
"…... rich text boxes for threat agent/threat/business asset/supporting asset/motivation, textbox for motivation." is incorrect. It should be "...... rich text boxes for threat agent/threat/motivation, textbox for motivation."
point 5 has typo mistake, " Risk evaulation" --&gt; " Risk evaluation"</t>
  </si>
  <si>
    <t xml:space="preserve">This test case need pre-requisite
Pre-requisite: On Risk screen
</t>
  </si>
  <si>
    <t>This test case need pre-requisite
Pre-requisite: Perform below test step after TC015
Typo in expected result 3.  "Busisness"
Add test steps, 
- add, delete the added and add again, the Id will be incremented and different from the deleted record</t>
  </si>
  <si>
    <t>This test case need pre-requisite
Pre-requisite: Perform below test step after TC020
Add test steps, 
- add, delete the added and add again, the Id will be incremented and different from the deleted record</t>
  </si>
  <si>
    <t>This test case need pre-requisite
Pre-requisite: Perform below test step after TC032
Add test steps, 
- add, delete the added and add again, the Id will be incremented and different from the deleted record</t>
  </si>
  <si>
    <t>This test case need pre-requisite
Pre-requisite: Perform below test step after TC036
Add test steps, 
- add, delete the added and add again, the Id will be incremented and different from the deleted record</t>
  </si>
  <si>
    <t>Pre-requisite</t>
  </si>
  <si>
    <t>Threat</t>
  </si>
  <si>
    <t>Impact Evaluation</t>
  </si>
  <si>
    <t>spoof</t>
  </si>
  <si>
    <t>tamper with</t>
  </si>
  <si>
    <t>repudiate</t>
  </si>
  <si>
    <t>disclose</t>
  </si>
  <si>
    <t>steal</t>
  </si>
  <si>
    <t>deny access to</t>
  </si>
  <si>
    <t>gain an unauthorized access to</t>
  </si>
  <si>
    <t>flood</t>
  </si>
  <si>
    <t>lose</t>
  </si>
  <si>
    <t>Confidentiality</t>
  </si>
  <si>
    <t>Authencity</t>
  </si>
  <si>
    <t>Integrity</t>
  </si>
  <si>
    <t>Non Repudiation</t>
  </si>
  <si>
    <t>Availability</t>
  </si>
  <si>
    <t>Authorization</t>
  </si>
  <si>
    <t>On Project Context screen</t>
  </si>
  <si>
    <t>After TC007</t>
  </si>
  <si>
    <t>After TC008</t>
  </si>
  <si>
    <t>On Business Assets screen</t>
  </si>
  <si>
    <t>After TC0010</t>
  </si>
  <si>
    <t>After TC0011</t>
  </si>
  <si>
    <t>What is the expected result when opening the Type dropdown? This needs to be covered in the expected result.
What is the expected result when opening the Network Security Level drop down? This needs to be covered in the expected result.</t>
  </si>
  <si>
    <t>On Supporting Assets screen</t>
  </si>
  <si>
    <t>After TC019</t>
  </si>
  <si>
    <t xml:space="preserve">This test case need pre-requisite
Pre-requisite: Perform below test step after TC019
</t>
  </si>
  <si>
    <t>After TC020</t>
  </si>
  <si>
    <t>After TC022</t>
  </si>
  <si>
    <t>After TC024</t>
  </si>
  <si>
    <t>After TC025</t>
  </si>
  <si>
    <t>After TC026</t>
  </si>
  <si>
    <t>After TC027</t>
  </si>
  <si>
    <t>After TC028</t>
  </si>
  <si>
    <t>After TC029</t>
  </si>
  <si>
    <t>After TC030</t>
  </si>
  <si>
    <t>On Vulnerabilities screen</t>
  </si>
  <si>
    <t>After TC032</t>
  </si>
  <si>
    <t>On Risk screen</t>
  </si>
  <si>
    <t>After TC036</t>
  </si>
  <si>
    <t>After TC038</t>
  </si>
  <si>
    <t>1. Risk Name in Risks table is displayed according to the input value in text box for Risk Name. (Risk Name in Risks table is black if Threat Agent, Threat, Business Asset, Supporting Asset are all selected and Motivation is inputted) . 
2. A Replace with Automatic Risk Name button is replaces the Replace with Manual Risk Name button.</t>
  </si>
  <si>
    <t>Insider</t>
  </si>
  <si>
    <t>Criminal</t>
  </si>
  <si>
    <t>Competitor</t>
  </si>
  <si>
    <t>Criminal organization</t>
  </si>
  <si>
    <t>Government agency</t>
  </si>
  <si>
    <t>Researcher</t>
  </si>
  <si>
    <t>Activist</t>
  </si>
  <si>
    <t>Script Kiddy</t>
  </si>
  <si>
    <t>User</t>
  </si>
  <si>
    <t>R&amp;D Employee</t>
  </si>
  <si>
    <t>Operationnal Employee</t>
  </si>
  <si>
    <t>Maintenance Employee</t>
  </si>
  <si>
    <t>IT Employee</t>
  </si>
  <si>
    <t>Threat Agent Dropdown</t>
  </si>
  <si>
    <t>Threat Dropdown</t>
  </si>
  <si>
    <t>Skill Level Dropdown</t>
  </si>
  <si>
    <t>No technical skill</t>
  </si>
  <si>
    <t>Some technical skills</t>
  </si>
  <si>
    <t>Advanced computer skills</t>
  </si>
  <si>
    <t>Network and programming skills</t>
  </si>
  <si>
    <t>Security penetration skills</t>
  </si>
  <si>
    <t>Risk Reward Dropdown</t>
  </si>
  <si>
    <t>High reward</t>
  </si>
  <si>
    <t>Possible reward</t>
  </si>
  <si>
    <t>Low or no reward</t>
  </si>
  <si>
    <t>Risk Access Resources Dropdown</t>
  </si>
  <si>
    <t>No access or resources required</t>
  </si>
  <si>
    <t>Some access or resources required</t>
  </si>
  <si>
    <t>Special access or resources required</t>
  </si>
  <si>
    <t>Full access or expensive resources required</t>
  </si>
  <si>
    <t>Risk Size Dropdown</t>
  </si>
  <si>
    <t>Anonymous Internet users</t>
  </si>
  <si>
    <t>Authenticated users</t>
  </si>
  <si>
    <t>Partners</t>
  </si>
  <si>
    <t>Intranet users</t>
  </si>
  <si>
    <t>Developers/system administrators</t>
  </si>
  <si>
    <t>Risk Intrusion Detection Dropdown</t>
  </si>
  <si>
    <t>Not logged</t>
  </si>
  <si>
    <t>Logged without review</t>
  </si>
  <si>
    <t>Logged and reviewed</t>
  </si>
  <si>
    <t>Active detection in application</t>
  </si>
  <si>
    <t>Risk Description</t>
  </si>
  <si>
    <t>Risk Evaluation</t>
  </si>
  <si>
    <t>Risk Occurrence Dropdown</t>
  </si>
  <si>
    <t>Very high (it will happen)</t>
  </si>
  <si>
    <t>High (it already happened in Thales DIS)</t>
  </si>
  <si>
    <t>Medium (it already happened in similar companies)</t>
  </si>
  <si>
    <t>Low (it happened)</t>
  </si>
  <si>
    <t>Very low</t>
  </si>
  <si>
    <t xml:space="preserve">This test case need pre-requisite
Pre-requisite: Perform below test step after TC036
For expected result, 
Point 1: for Treat Agent and Treat dropdown, should list down the expected values for their dropdown. The values should be either in this expected result or create another worksheet to put all default values. 
Point 4: for different Threat, it will match with different impact evaluation, I create a worksheet "Threat vs ImpactEval", 
</t>
  </si>
  <si>
    <t>For expected result, 
Point 1: Default values need to match with the value in "Risk-default values" worksheet</t>
  </si>
  <si>
    <t>After TC040</t>
  </si>
  <si>
    <t>Simple Likelihood evaluation dropdown</t>
  </si>
  <si>
    <t xml:space="preserve">Low </t>
  </si>
  <si>
    <t>Medium</t>
  </si>
  <si>
    <t>High</t>
  </si>
  <si>
    <t>Very High</t>
  </si>
  <si>
    <t>After TC041</t>
  </si>
  <si>
    <t>On Risk screen and scroll to Vulnerability evaluation</t>
  </si>
  <si>
    <r>
      <rPr>
        <b/>
        <sz val="10"/>
        <rFont val="Arial"/>
        <family val="2"/>
      </rPr>
      <t>Vulnerability evaluation:</t>
    </r>
    <r>
      <rPr>
        <sz val="10"/>
        <rFont val="Arial"/>
        <family val="2"/>
      </rPr>
      <t xml:space="preserve"> 
1. Click on Go to vulnerabilities view button</t>
    </r>
  </si>
  <si>
    <r>
      <rPr>
        <b/>
        <sz val="10"/>
        <rFont val="Arial"/>
        <family val="2"/>
      </rPr>
      <t>Impact evaluation:</t>
    </r>
    <r>
      <rPr>
        <sz val="10"/>
        <rFont val="Arial"/>
        <family val="2"/>
      </rPr>
      <t xml:space="preserve">
 1. Check the checkbox(es) of Business Asset Security Properties to take into account. </t>
    </r>
  </si>
  <si>
    <t>After TC045</t>
  </si>
  <si>
    <t>After TC046</t>
  </si>
  <si>
    <r>
      <rPr>
        <b/>
        <sz val="10"/>
        <rFont val="Arial"/>
        <family val="2"/>
      </rPr>
      <t xml:space="preserve">Risk Mitigation section:   </t>
    </r>
    <r>
      <rPr>
        <sz val="10"/>
        <rFont val="Arial"/>
        <family val="2"/>
      </rPr>
      <t xml:space="preserve">                                                                         
1. Click on Add button to add a Risk Mitigation section.                               
2. Input text in rich text box for security control description.                        
3. Select a radio button for expected benefits.                                            
4. Input number for estimated cost</t>
    </r>
  </si>
  <si>
    <t>After TC048</t>
  </si>
  <si>
    <t>After TC049</t>
  </si>
  <si>
    <t>After TC050</t>
  </si>
  <si>
    <r>
      <rPr>
        <b/>
        <sz val="10"/>
        <rFont val="Arial"/>
        <family val="2"/>
      </rPr>
      <t>Risk Management section:</t>
    </r>
    <r>
      <rPr>
        <sz val="10"/>
        <rFont val="Arial"/>
        <family val="2"/>
      </rPr>
      <t xml:space="preserve">
1. Select a Risk Management Decision from radio buttons.</t>
    </r>
  </si>
  <si>
    <t>After TC052</t>
  </si>
  <si>
    <t>Add test steps
- Add a text(eg. happy) in filter search box, expect no row is displayed in table
- Click X button, expect text is cleared in the filter search box and all rows are shown in table
- Enter some text again, after that manual delete all the text and click ENTER, expect all rows are shown in table</t>
  </si>
  <si>
    <t>Overview</t>
  </si>
  <si>
    <t>Applicable documents</t>
  </si>
  <si>
    <t>The following table gives the references of the documents requiring this document existence (SDP or SVVP).</t>
  </si>
  <si>
    <r>
      <t xml:space="preserve"> </t>
    </r>
    <r>
      <rPr>
        <sz val="8"/>
        <rFont val="Tahoma"/>
        <family val="2"/>
      </rPr>
      <t> </t>
    </r>
    <r>
      <rPr>
        <b/>
        <sz val="10"/>
        <rFont val="Tahoma"/>
        <family val="2"/>
      </rPr>
      <t>Document Title</t>
    </r>
  </si>
  <si>
    <t>Description</t>
  </si>
  <si>
    <t>Organization</t>
  </si>
  <si>
    <t>Version and date</t>
  </si>
  <si>
    <t>Ref</t>
  </si>
  <si>
    <t>Linked documents</t>
  </si>
  <si>
    <t>The following table gives the references of documents to be used in conjunction with the present one (STS…)</t>
  </si>
  <si>
    <t>Informative documents</t>
  </si>
  <si>
    <t>The following table gives the references of documents that could help to write or read the present document</t>
  </si>
  <si>
    <t xml:space="preserve"> </t>
  </si>
  <si>
    <t xml:space="preserve">The objective of this document is to add all the test cases based on the requirements to create a software risk assessment tool that can be used to calculate the risk scores. This document will contain test cases related to Windows, Linux and MacOS platforms and their respective test results.
</t>
  </si>
  <si>
    <t>Comment replie(s)</t>
  </si>
  <si>
    <t>After TC012</t>
  </si>
  <si>
    <t>4. Verify that updated fields, link and attachment remain unchanged after reopening project file</t>
  </si>
  <si>
    <t>System/Unit/Both</t>
  </si>
  <si>
    <t>Whole project</t>
  </si>
  <si>
    <t>VTP01</t>
  </si>
  <si>
    <t>Gemalto Private</t>
  </si>
  <si>
    <t>[X]</t>
  </si>
  <si>
    <t>Verify application can be opened successfully</t>
  </si>
  <si>
    <t>Added test objective(s)</t>
  </si>
  <si>
    <t>ok</t>
  </si>
  <si>
    <t>Save As file to selected directory and reopen file</t>
  </si>
  <si>
    <t>5. Click on Project Descriptive Document</t>
  </si>
  <si>
    <t>Only able to attach new file</t>
  </si>
  <si>
    <t>1. Business Assets sections are created with Ids running in ascending order. Every new Business Asset section is added at the bottom.                                                                              
2. In Risks tab, Business Asset drop down options are added.   
3. In Supporting Assets tab, Business Asset link(s) drop down options are added accordingly.</t>
  </si>
  <si>
    <t>After TC016</t>
  </si>
  <si>
    <t>After TC017</t>
  </si>
  <si>
    <t>1. Check the checkbox(es) of Business Asset section(s).                                                      
2. Click on Delete button.
3. Add, delete the added and add another Business Asset Section</t>
  </si>
  <si>
    <t>1. Checked Business Asset sections are removed. Unchecked Business Asset sections remain.                                               
2. In Risks tab, Business Asset drop down options are updated.   
3. In Supporting Assets tab, Busisness Asset link(s) drop down options are deleted accordingly.
4. The Business Asset Id will be incremented and is different from the deleted record</t>
  </si>
  <si>
    <t>1. Check the checkbox(es) of Supporting Asset row(s).                                                      
2. Click on Delete button.
3. Add, delete the added Supporting Asset row and add a new Supporting Asset row.</t>
  </si>
  <si>
    <t>1. Checked Supporting Asset rows are removed. Unchecked Supporting Asset rows remain.                                                  
2. In Risks tab, Supporting Asset drop down options are updated. In Vulnerabilities tab, Supporting Asset checkbox labels are deleted accordingly.
3. The Supporting Asset Id is incremented and different from the deleted record.</t>
  </si>
  <si>
    <t>1. Check the checkbox(es) of Risk rows.                                                      
2. Click on Delete button.
3. Add Risk row, delete the added and add another new Risk row.</t>
  </si>
  <si>
    <t>1. Checked Risk rows are removed. Unchecked Risk rows remain.                                                                                  
2. Risk Id is incremented and different from the deleted record.</t>
  </si>
  <si>
    <t>1. Check the checkbox(es) of Vulnerability row(s).                                                      
2. Click on Delete button.
3. Add, delete the added Vulnerability row and add a new Vulnerability row.</t>
  </si>
  <si>
    <t xml:space="preserve">1. Checked Vulnerability rows are removed. Unchecked Vulnerability rows remain.                                                        
2. In Risks tab, Attack Path drop down options are removed and Attack Path Score, vulnerability scoring of worst attack path, Inherent risk score, Mitigated risk score, Residual risk score, Residual risk level for linked Risks.are updated accordingly.
3. The Vulnerability Id is incremented and different from the deleted record.
</t>
  </si>
  <si>
    <t>"Threat Agent &amp; Threat values" worksheet created</t>
  </si>
  <si>
    <t xml:space="preserve">1. Default values from dropdown should get displayed (match with the value in "Risk-default values worksheet").
2. Selected skill level, skill level, reward, access resources, size, intrusion detection, occurrence are displyed.
3. Threat factor level is highlighed bold for every skill level, reward, access resources, size, intrusion detection selected.
4. Occurrence level is highlighted bold for every occurrence selected.
5. If occurrence and any one of the skill level, reward, access resources, size, intrusion detection, occurrence are selected, the matrix table displays the overall Risk Level calculated from the Occurrence and Threat factor levels. Inherent, Mitigated, Residual Risk Scores and Residual Risk Level are updated.
6. Text in rich text box is displayed after input. </t>
  </si>
  <si>
    <t xml:space="preserve">1. Default values from drop down should be displayed. Risk Likelihood Level displayed is set to High by default unless Risk Level has already been calculated using OWASP Likelihood evalaution method. (match with the value in "Risk-default values worksheet")                                                                  
2. A Replace with Simple Likelihood evaluation method button replaces the Replace with OWASP Likelihood evaluation method button.                                                                                     
3. Selected Risk Likelihood Level is displayed. Inherent, Mitigated, Residual Risk Scores and Residual Risk Level are updated. 
</t>
  </si>
  <si>
    <t>1. Input some text in filter search box.
2. Add a text(eg. happy) in filter search box, expect no row is displayed in table
3. Click X button, expect text is cleared in the filter search box and all rows are shown in table
4. Enter some text again, after that manual delete all the text and click ENTER, expect all rows are shown in table</t>
  </si>
  <si>
    <t>Operational Employee</t>
  </si>
  <si>
    <t>Maintanence Employee</t>
  </si>
  <si>
    <t xml:space="preserve">
2. Observe the UI of Welcome screen for each window.
</t>
  </si>
  <si>
    <t>For each window:                                                                                                                               1. Input a value in Project Name text field.
2. Input a value in Project Version text field.
3. Select an Origanization in drop down.                                                  
4. Click on Iteration.</t>
  </si>
  <si>
    <t xml:space="preserve">1. Data should remain unchanged </t>
  </si>
  <si>
    <t xml:space="preserve">1. For the drop downs of Threat Agent and Threat, default values from dropdown should get displayed.                                          
2. For the drop down of Business Asset, values should display the current names of Business Asset(s). There should not be empty options.                                         
3. For the drop down of Supporting Asset, values are displayed after a Business Asset is selected from drop down. Values displayed are based on the Supporting Asset / Business Asset Relationship Matrix table in Supporting Assets tab. There should not be empty options.                    
4. Threat Agent, Threat, Business Asset, Supporting Asset selected are displayed accordingly. If Threat is selected, the checkboxes in Impact evaluation are checked accordingly. If Business Asset is selected, the values for each security property in Impact evaluation are displayed accordingly. Inherent, Mitigated, Residual Risk Scores and Residual Risk Level are updated.                                                                                
5. Text in rich text boxes and text boxes are displayed after user input.                                                                                       
6. For every change in Threat Agent, Threat, Business Asset, Supporting Asset selected and Motivation, Risk Name in Risks table and Risk description section get updated. Risk Name in Risks table is black if Threat Agent, Threat, Business Asset, Supporting Asset are all selected and Motivation is inputted.
</t>
  </si>
  <si>
    <t>A dialog window prompts the user to save the project if changes are being made. User may select Yes to trigger Save/Save As option events and exit application, or No to exit the application without saving the changes made. User should not be able to ignore the dialog window</t>
  </si>
  <si>
    <t>1. Click on Business Assets tab button                                                                        2. While it is loading, quickly click on it again</t>
  </si>
  <si>
    <t>Configurations have been applied for classification and organizations in config.js:                                                               classification: THALES GROUP CONFIDENTIAL {PROJECT}                                                                                                      organizations: List of Thales Organizations</t>
  </si>
  <si>
    <t xml:space="preserve">1. Input Description in Iteration History table row                                          
2. Input Security Officer in Iteration History table row                                   
3. Input Date in Iteration History Table row                                               
4. Click on Add button.                                                                             
5. Check the last row's checkbox.                                                             
6. Click on Delete button.                                                                                                                 7. Scroll down to the bottom of the screen to view the classification                                                                      </t>
  </si>
  <si>
    <t>1. Click on Project Context tab button                                                                           2. While it is loading, try clicking on it again</t>
  </si>
  <si>
    <t xml:space="preserve">1. Data should remain unchanged                                                                                                </t>
  </si>
  <si>
    <t xml:space="preserve">1.Click on Project Descriptive Document and select Attach to attach a new file.                                                                                                       
2. Select a file from local directory.                                                                                 3. Click on the file and remove it                                                                                      4. Select Attach again to attach a large sized file                                                    
</t>
  </si>
  <si>
    <t>1. All the tabs required are displayed at the top: Welcome, Project Context, Business Assets, Supporting Assets (bolded), Risks, Vulnerabilities.                                                                                          
2. Displays a section for Product architecture diagram consisting of a rich text box.                                                                      
3. Displays a section for List of Supporting Assets. Table displays a row with columns: a checkbox, Id, HLD Id, Name, Type, Network Security Level. Network Security Level is set to default value of -1. Id is set to value of 1.                                                                             
4. Displays section for Supporting Asset / Business Assets Relationship Matrix. Matrix table displays a row with columns: Supporting Asset, Business Asset. There should be no rows since there are no named supporting assets.</t>
  </si>
  <si>
    <t>1. A popup dialog asks the user to save project's ISRA Report page in a selected local directory path as a PDF file.                                                                      2. PDF file displays a static page of the project's ISRA Report.</t>
  </si>
  <si>
    <t>6. Select Open File option.                                                                                                  7. Select xml/json file to open.</t>
  </si>
  <si>
    <t xml:space="preserve">1. All the tabs required are displayed at the top: Welcome, Project Context, Business Assets, Supporting Assets, Risks, Vulnerabilities (bolded).                                                             
2. Vulnerabilities tab screen is displayed.                                                                           </t>
  </si>
  <si>
    <r>
      <rPr>
        <b/>
        <sz val="10"/>
        <rFont val="Arial"/>
        <family val="2"/>
      </rPr>
      <t>(Double-click to view full result)</t>
    </r>
    <r>
      <rPr>
        <sz val="10"/>
        <rFont val="Arial"/>
        <family val="2"/>
      </rPr>
      <t xml:space="preserve">                                                                                          
1. All the tabs required are displayed at the top: Welcome, Project Context, Business Assets, Supporting Assets, Risks (bolded), Vulnerabilities.                                                                                          
2. Displays a filter search box.                                                                    
3. Displays a row of Risk in table, has columns: Risk Id, Project Version, Risk Name, Risk Level, Mgt Decision. Risk Id has a value of 1. Risk Name has a value of 'As a , I can the compromising the in order to' (color: red). Risk Level has a value of Low. Add and Delete buttons are displayed to add and remove Risks repectively.                                                                             
4. Risk description section displays value of Risk Id, Risk Name, button for manual Risk Name, drop downs for threat agent/threat, rich text boxes for threat agent/threat/business asset/supporting asset/motivation, textbox for motivation.                                                               
5. Risk evaluation section displays:                                             </t>
    </r>
    <r>
      <rPr>
        <b/>
        <sz val="10"/>
        <rFont val="Arial"/>
        <family val="2"/>
      </rPr>
      <t xml:space="preserve"> 
Likelihood evaluation:</t>
    </r>
    <r>
      <rPr>
        <sz val="10"/>
        <rFont val="Arial"/>
        <family val="2"/>
      </rPr>
      <t xml:space="preserve"> A button for Simple Likelihood method evaluation, drop downs for skill level, reward, access resources, size, intrusion detection, occurrence, a matrix table that calculates the threat factor level and occurrence level, a rich text box for justifying likelihood evaluation     
</t>
    </r>
    <r>
      <rPr>
        <b/>
        <sz val="10"/>
        <rFont val="Arial"/>
        <family val="2"/>
      </rPr>
      <t>Impact evaluation</t>
    </r>
    <r>
      <rPr>
        <sz val="10"/>
        <rFont val="Arial"/>
        <family val="2"/>
      </rPr>
      <t xml:space="preserve">: A table with columns: Business Asset Security Properties, Value of each asset value, and checkboxes for each row for Take into account.                                             
</t>
    </r>
    <r>
      <rPr>
        <b/>
        <sz val="10"/>
        <rFont val="Arial"/>
        <family val="2"/>
      </rPr>
      <t>Vulnerability evaluation</t>
    </r>
    <r>
      <rPr>
        <sz val="10"/>
        <rFont val="Arial"/>
        <family val="2"/>
      </rPr>
      <t xml:space="preserve">: A button to navigate to Vulnerabilities tab, Add and Delete buttons to add and remove attack paths respectively, an attack path row of no scoring with a checkbox beside, a drop down for its vulnerabiliy, and Add and Delete buttons add and remove vulnerabilities respectively. Displays the worst attack path score and final Inherent Risk Score.                 
6. Risk Mitigation section displays:                                                                     
Add and Delete buttons to add and remove risk mitigations respectively. Each risk mitigation row has a checkbox beside, a rich text box for security control description, a column of radio buttons for expected benefits, a numerical input box for estimated cost. Mitigated Risk Score is displayed.                                     
7. Risk management section displays:                                       
A column of radio buttons for management decision, rich text box for decision details. Residual Risk Score and Residual Risk Level are displayed.                                                                                                                                                </t>
    </r>
  </si>
  <si>
    <t xml:space="preserve">1. Project Name and Project Version are displayed. In Risks and Vulnerabilities tabs, Project Version is updated in their respective tables. For every change in Project Name, footer and ISRA Report are updated.                                                                                
2. Configured values from dropdown should get displayed.                                                 
3. Organization selected is displayed. Red border is removed if an organization is being selected.                                            
4. Iteration cannot be changed.    </t>
  </si>
  <si>
    <t>1. Description, Security Officer, Date of iteration history are displayed in 1st row. Tooltips of Iteration, Security Officer, Description are displayed when hovered.                                                 
2. Iteration history table has 2 rows that displays the Iteration, Security Officer, Date, and Description. The last row has an Iteration of 2.                                                                                    
3. Iteration History table removes last row and 1st row remains.                                4. Configured classification should be displayed</t>
  </si>
  <si>
    <t xml:space="preserve">1.Displays native system dialog for attaching files from local directory.                                                                                
2. Selected filename is displayed in Project Descriptive Document.                                                                              
3. Example of accepted file formats: json, png, docx, doc, jpg, jpeg, pdf, xml, csv, xlsx, ppt, txt                                                                                                                           4. First file removed, second file successfully uploaded and displayed in Project Descriptive Document
</t>
  </si>
  <si>
    <t>1. Supporting Asset Name is displayed. In Risks tab, Supporting Asset drop down option label is updated. In Vulnerabilities tab, Supporting Asset checkbox labels are updated.                                        
2. Values from dropdowns should display accordingly. Network Security Level: -2, -1, 1, 2, 3. Type: '', 'Database', 'Operating System', 'Application Server', 'Application module', 'File', 'Log', 'Web Service', 'Web User Interface', 'Remote API', 'Local API', 'Crypto-Key', 'Software application', 'Service Provider', 'Hardware device', 'Computer', 'Human', 'Network', 'Server', 'Source code', 'Organization', 'Location', 'Process', 'Interface'                       
3. Tooltips for all columns in table are displayed when hovered.     
4. Selected Type/Network Security Level is displayed.                                                 5. A new row containing the new supporting asset will be added to the Relationship Matrix table</t>
  </si>
  <si>
    <r>
      <t xml:space="preserve">1. Headings consisting of the Project Name and Project Version ([Project Name] [Project Version]), Revision, App Version are displayed at the top of report.                                                     
2. </t>
    </r>
    <r>
      <rPr>
        <b/>
        <sz val="10"/>
        <rFont val="Arial"/>
        <family val="2"/>
      </rPr>
      <t>Project security risks:</t>
    </r>
    <r>
      <rPr>
        <sz val="10"/>
        <rFont val="Arial"/>
        <family val="2"/>
      </rPr>
      <t xml:space="preserve"> A table of rows of Risks are displayed. Each row displays the Id, Risk Description (Name and Decision), Inherent Score, Residual Score, Risk Level, Mgt Decision. The rows are arranged according to Risk Level, starting from High (color: red), Medium (color: orange), Low.                                   
3. </t>
    </r>
    <r>
      <rPr>
        <b/>
        <sz val="10"/>
        <rFont val="Arial"/>
        <family val="2"/>
      </rPr>
      <t>List of project vulnerabilities:</t>
    </r>
    <r>
      <rPr>
        <sz val="10"/>
        <rFont val="Arial"/>
        <family val="2"/>
      </rPr>
      <t xml:space="preserve"> A table of rows of Vulnerabilities are displayed. Each row displays the Id, Vulnerability Name, Overall Score and Overall Level. The rows are arranged according to Overall Level, starting from High (color: red), Medium (color: orange), Low.                                                                           
4. </t>
    </r>
    <r>
      <rPr>
        <b/>
        <sz val="10"/>
        <rFont val="Arial"/>
        <family val="2"/>
      </rPr>
      <t>List of all accepted security controls:</t>
    </r>
    <r>
      <rPr>
        <sz val="10"/>
        <rFont val="Arial"/>
        <family val="2"/>
      </rPr>
      <t xml:space="preserve"> A table of rows of Risk Mitigation are displayed. If Risk's Risk Mitigation Decision is selected Accepted, each row displays the security control description, decision comment and estimated cost. Total cost is calculated at the bottom of table. </t>
    </r>
  </si>
  <si>
    <t>10. Select Exit option or on the top-right corner, click on Exit (X) tab button                                                                                                                        11. Click on anything while dialog is active, dialog should flash whenever the user clicks within the application window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</si>
</sst>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T\C000"/>
  </numFmts>
  <fonts count="44" x14ac:knownFonts="1">
    <font>
      <sz val="10"/>
      <name val="Arial"/>
    </font>
    <font>
      <b/>
      <sz val="12"/>
      <name val="Arial"/>
      <family val="2"/>
    </font>
    <font>
      <b/>
      <sz val="10"/>
      <name val="Arial"/>
      <family val="2"/>
    </font>
    <font>
      <sz val="10"/>
      <name val="Arial"/>
      <family val="2"/>
    </font>
    <font>
      <u/>
      <sz val="10"/>
      <color indexed="12"/>
      <name val="Arial"/>
      <family val="2"/>
    </font>
    <font>
      <b/>
      <sz val="10"/>
      <name val="Tahoma"/>
      <family val="2"/>
    </font>
    <font>
      <sz val="11"/>
      <color indexed="60"/>
      <name val="Calibri"/>
      <family val="2"/>
    </font>
    <font>
      <sz val="10"/>
      <name val="Verdana"/>
      <family val="2"/>
    </font>
    <font>
      <b/>
      <sz val="20"/>
      <name val="Arial"/>
      <family val="2"/>
    </font>
    <font>
      <b/>
      <sz val="10"/>
      <color indexed="17"/>
      <name val="Verdana"/>
      <family val="2"/>
    </font>
    <font>
      <b/>
      <sz val="10"/>
      <color indexed="10"/>
      <name val="Verdana"/>
      <family val="2"/>
    </font>
    <font>
      <sz val="10"/>
      <color indexed="10"/>
      <name val="Verdana"/>
      <family val="2"/>
    </font>
    <font>
      <b/>
      <sz val="14"/>
      <name val="Arial"/>
      <family val="2"/>
    </font>
    <font>
      <b/>
      <sz val="10"/>
      <name val="Verdana"/>
      <family val="2"/>
    </font>
    <font>
      <sz val="9"/>
      <color indexed="81"/>
      <name val="Tahoma"/>
      <family val="2"/>
    </font>
    <font>
      <b/>
      <sz val="9"/>
      <color indexed="81"/>
      <name val="Tahoma"/>
      <family val="2"/>
    </font>
    <font>
      <b/>
      <u/>
      <sz val="10"/>
      <name val="Arial"/>
      <family val="2"/>
    </font>
    <font>
      <sz val="10"/>
      <color theme="1"/>
      <name val="Arial"/>
      <family val="2"/>
    </font>
    <font>
      <sz val="10"/>
      <color rgb="FF9C6500"/>
      <name val="Arial"/>
      <family val="2"/>
    </font>
    <font>
      <b/>
      <sz val="10"/>
      <color theme="1"/>
      <name val="Arial"/>
      <family val="2"/>
    </font>
    <font>
      <sz val="10"/>
      <color theme="1"/>
      <name val="Verdana"/>
      <family val="2"/>
    </font>
    <font>
      <b/>
      <sz val="10"/>
      <color rgb="FFFF0000"/>
      <name val="Verdana"/>
      <family val="2"/>
    </font>
    <font>
      <b/>
      <sz val="10"/>
      <color theme="0"/>
      <name val="Verdana"/>
      <family val="2"/>
    </font>
    <font>
      <sz val="10"/>
      <color theme="3" tint="-0.249977111117893"/>
      <name val="Verdana"/>
      <family val="2"/>
    </font>
    <font>
      <sz val="18"/>
      <name val="Calibri"/>
      <family val="2"/>
      <scheme val="minor"/>
    </font>
    <font>
      <b/>
      <sz val="10"/>
      <color rgb="FF5DBFD4"/>
      <name val="Arial"/>
      <family val="2"/>
    </font>
    <font>
      <b/>
      <sz val="10"/>
      <color rgb="FF3366FF"/>
      <name val="Arial"/>
      <family val="2"/>
    </font>
    <font>
      <b/>
      <sz val="10"/>
      <color rgb="FF00B050"/>
      <name val="Arial"/>
      <family val="2"/>
    </font>
    <font>
      <b/>
      <sz val="10"/>
      <color rgb="FF5DBFD4"/>
      <name val="Tahoma"/>
      <family val="2"/>
    </font>
    <font>
      <b/>
      <sz val="18"/>
      <color theme="1"/>
      <name val="Arial"/>
      <family val="2"/>
    </font>
    <font>
      <sz val="12"/>
      <color theme="1"/>
      <name val="Arial"/>
      <family val="2"/>
    </font>
    <font>
      <i/>
      <sz val="8"/>
      <color theme="1"/>
      <name val="Arial"/>
      <family val="2"/>
    </font>
    <font>
      <sz val="8"/>
      <color theme="1"/>
      <name val="Arial"/>
      <family val="2"/>
    </font>
    <font>
      <sz val="9"/>
      <color theme="1"/>
      <name val="Arial"/>
      <family val="2"/>
    </font>
    <font>
      <sz val="9"/>
      <color rgb="FF000000"/>
      <name val="Tahoma"/>
      <family val="2"/>
    </font>
    <font>
      <sz val="9"/>
      <color rgb="FF000000"/>
      <name val="Arial"/>
      <family val="2"/>
    </font>
    <font>
      <b/>
      <i/>
      <sz val="10"/>
      <name val="Arial"/>
      <family val="2"/>
    </font>
    <font>
      <b/>
      <sz val="16"/>
      <name val="Tahoma"/>
      <family val="2"/>
    </font>
    <font>
      <b/>
      <i/>
      <sz val="10"/>
      <color theme="1"/>
      <name val="Tahoma"/>
      <family val="2"/>
    </font>
    <font>
      <b/>
      <i/>
      <sz val="10"/>
      <color indexed="52"/>
      <name val="Tahoma"/>
      <family val="2"/>
    </font>
    <font>
      <sz val="12"/>
      <name val="Times New Roman"/>
      <family val="1"/>
    </font>
    <font>
      <sz val="10"/>
      <name val="Tahoma"/>
      <family val="2"/>
    </font>
    <font>
      <sz val="8"/>
      <name val="Tahoma"/>
      <family val="2"/>
    </font>
    <font>
      <u/>
      <sz val="10"/>
      <name val="Arial"/>
      <family val="2"/>
    </font>
  </fonts>
  <fills count="24">
    <fill>
      <patternFill patternType="none"/>
    </fill>
    <fill>
      <patternFill patternType="gray125"/>
    </fill>
    <fill>
      <patternFill patternType="solid">
        <fgColor indexed="43"/>
      </patternFill>
    </fill>
    <fill>
      <patternFill patternType="solid">
        <fgColor rgb="FFFFEB9C"/>
      </patternFill>
    </fill>
    <fill>
      <patternFill patternType="solid">
        <fgColor theme="9"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bgColor indexed="64"/>
      </patternFill>
    </fill>
    <fill>
      <patternFill patternType="solid">
        <fgColor rgb="FF0070C0"/>
        <bgColor indexed="64"/>
      </patternFill>
    </fill>
    <fill>
      <patternFill patternType="solid">
        <fgColor rgb="FF5DBFD4"/>
        <bgColor indexed="64"/>
      </patternFill>
    </fill>
    <fill>
      <patternFill patternType="solid">
        <fgColor theme="0" tint="-4.9989318521683403E-2"/>
        <bgColor indexed="64"/>
      </patternFill>
    </fill>
    <fill>
      <patternFill patternType="solid">
        <fgColor rgb="FF68A7AB"/>
        <bgColor indexed="64"/>
      </patternFill>
    </fill>
    <fill>
      <patternFill patternType="solid">
        <fgColor rgb="FFF3748C"/>
        <bgColor indexed="64"/>
      </patternFill>
    </fill>
    <fill>
      <patternFill patternType="solid">
        <fgColor rgb="FFFFC000"/>
        <bgColor indexed="64"/>
      </patternFill>
    </fill>
    <fill>
      <patternFill patternType="solid">
        <fgColor rgb="FFB789FB"/>
        <bgColor indexed="64"/>
      </patternFill>
    </fill>
    <fill>
      <patternFill patternType="solid">
        <fgColor rgb="FFA6C2B2"/>
        <bgColor indexed="64"/>
      </patternFill>
    </fill>
    <fill>
      <patternFill patternType="solid">
        <fgColor theme="8" tint="0.79998168889431442"/>
        <bgColor indexed="64"/>
      </patternFill>
    </fill>
    <fill>
      <patternFill patternType="solid">
        <fgColor rgb="FF00BBDD"/>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4" fillId="0" borderId="0" applyNumberFormat="0" applyFill="0" applyBorder="0" applyAlignment="0" applyProtection="0">
      <alignment vertical="top"/>
      <protection locked="0"/>
    </xf>
    <xf numFmtId="0" fontId="18" fillId="3" borderId="0" applyNumberFormat="0" applyBorder="0" applyAlignment="0" applyProtection="0"/>
    <xf numFmtId="0" fontId="18" fillId="3" borderId="0" applyNumberFormat="0" applyBorder="0" applyAlignment="0" applyProtection="0"/>
    <xf numFmtId="0" fontId="6" fillId="2" borderId="0" applyNumberFormat="0" applyBorder="0" applyAlignment="0" applyProtection="0"/>
    <xf numFmtId="0" fontId="3" fillId="0" borderId="0"/>
    <xf numFmtId="0" fontId="3" fillId="0" borderId="0"/>
  </cellStyleXfs>
  <cellXfs count="197">
    <xf numFmtId="0" fontId="0" fillId="0" borderId="0" xfId="0"/>
    <xf numFmtId="0" fontId="0" fillId="0" borderId="0" xfId="0" applyAlignment="1">
      <alignment horizontal="left" vertical="center"/>
    </xf>
    <xf numFmtId="0" fontId="2" fillId="0" borderId="0" xfId="0" applyFont="1"/>
    <xf numFmtId="0" fontId="2" fillId="0" borderId="2" xfId="0" applyFont="1" applyBorder="1"/>
    <xf numFmtId="0" fontId="1" fillId="4" borderId="0" xfId="0" applyFont="1" applyFill="1" applyAlignment="1">
      <alignment horizontal="center"/>
    </xf>
    <xf numFmtId="0" fontId="2" fillId="0" borderId="2" xfId="0" applyFont="1" applyBorder="1" applyAlignment="1">
      <alignment wrapText="1"/>
    </xf>
    <xf numFmtId="0" fontId="12" fillId="0" borderId="2" xfId="0" applyFont="1" applyBorder="1" applyAlignment="1">
      <alignment wrapText="1"/>
    </xf>
    <xf numFmtId="0" fontId="2" fillId="0" borderId="3" xfId="0" applyFont="1" applyBorder="1" applyAlignment="1">
      <alignment wrapText="1"/>
    </xf>
    <xf numFmtId="0" fontId="12" fillId="0" borderId="4" xfId="0" applyFont="1" applyBorder="1" applyAlignment="1">
      <alignment wrapText="1"/>
    </xf>
    <xf numFmtId="0" fontId="12" fillId="0" borderId="2" xfId="0" applyFont="1" applyFill="1" applyBorder="1" applyAlignment="1">
      <alignment wrapText="1"/>
    </xf>
    <xf numFmtId="0" fontId="9" fillId="5" borderId="2" xfId="4" applyFont="1" applyFill="1" applyBorder="1" applyAlignment="1">
      <alignment wrapText="1"/>
    </xf>
    <xf numFmtId="0" fontId="2" fillId="0" borderId="0" xfId="0" applyFont="1" applyBorder="1" applyAlignment="1">
      <alignment wrapText="1"/>
    </xf>
    <xf numFmtId="0" fontId="2" fillId="0" borderId="0" xfId="0" applyFont="1" applyBorder="1"/>
    <xf numFmtId="0" fontId="2" fillId="5" borderId="2" xfId="0" applyFont="1" applyFill="1" applyBorder="1"/>
    <xf numFmtId="0" fontId="3" fillId="0" borderId="2" xfId="0" applyFont="1" applyBorder="1" applyAlignment="1">
      <alignment horizontal="left"/>
    </xf>
    <xf numFmtId="0" fontId="0" fillId="0" borderId="2" xfId="0" applyBorder="1" applyAlignment="1">
      <alignment horizontal="left"/>
    </xf>
    <xf numFmtId="15" fontId="0" fillId="0" borderId="2" xfId="0" applyNumberFormat="1" applyBorder="1" applyAlignment="1">
      <alignment horizontal="left"/>
    </xf>
    <xf numFmtId="0" fontId="0" fillId="0" borderId="2" xfId="0" applyBorder="1"/>
    <xf numFmtId="0" fontId="2" fillId="0" borderId="5" xfId="0" applyFont="1" applyBorder="1" applyAlignment="1">
      <alignment wrapText="1"/>
    </xf>
    <xf numFmtId="0" fontId="2" fillId="0" borderId="6" xfId="0" applyFont="1" applyBorder="1" applyAlignment="1">
      <alignment wrapText="1"/>
    </xf>
    <xf numFmtId="0" fontId="2" fillId="0" borderId="5" xfId="0" applyFont="1" applyBorder="1"/>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9" fillId="5" borderId="9" xfId="4" applyFont="1" applyFill="1" applyBorder="1" applyAlignment="1">
      <alignment wrapText="1"/>
    </xf>
    <xf numFmtId="0" fontId="2" fillId="8" borderId="8" xfId="0" applyFont="1" applyFill="1" applyBorder="1" applyAlignment="1">
      <alignment horizontal="center" vertical="center" wrapText="1"/>
    </xf>
    <xf numFmtId="0" fontId="0" fillId="9" borderId="10" xfId="0" applyFill="1" applyBorder="1"/>
    <xf numFmtId="0" fontId="7" fillId="9" borderId="2" xfId="2" applyFont="1" applyFill="1" applyBorder="1" applyAlignment="1">
      <alignment horizontal="left" wrapText="1"/>
    </xf>
    <xf numFmtId="0" fontId="2" fillId="9" borderId="2" xfId="0" applyFont="1" applyFill="1" applyBorder="1" applyAlignment="1">
      <alignment horizontal="center" wrapText="1"/>
    </xf>
    <xf numFmtId="0" fontId="20" fillId="9" borderId="2" xfId="0" applyFont="1" applyFill="1" applyBorder="1" applyAlignment="1">
      <alignment horizontal="left" wrapText="1"/>
    </xf>
    <xf numFmtId="0" fontId="7" fillId="9" borderId="1" xfId="5" applyFont="1" applyFill="1" applyBorder="1" applyAlignment="1">
      <alignment horizontal="center" wrapText="1"/>
    </xf>
    <xf numFmtId="0" fontId="7" fillId="9" borderId="2" xfId="2" applyFont="1" applyFill="1" applyBorder="1" applyAlignment="1">
      <alignment horizontal="center" wrapText="1"/>
    </xf>
    <xf numFmtId="0" fontId="7" fillId="9" borderId="2" xfId="0" applyFont="1" applyFill="1" applyBorder="1" applyAlignment="1">
      <alignment horizontal="center" wrapText="1"/>
    </xf>
    <xf numFmtId="0" fontId="7" fillId="9" borderId="2" xfId="0" applyFont="1" applyFill="1" applyBorder="1" applyAlignment="1">
      <alignment horizontal="left" wrapText="1"/>
    </xf>
    <xf numFmtId="0" fontId="7" fillId="9" borderId="2" xfId="5" applyFont="1" applyFill="1" applyBorder="1" applyAlignment="1">
      <alignment horizontal="left" wrapText="1"/>
    </xf>
    <xf numFmtId="0" fontId="7" fillId="9" borderId="1" xfId="5" applyFont="1" applyFill="1" applyBorder="1" applyAlignment="1">
      <alignment horizontal="left" wrapText="1"/>
    </xf>
    <xf numFmtId="0" fontId="0" fillId="9" borderId="11" xfId="0" applyFill="1" applyBorder="1"/>
    <xf numFmtId="0" fontId="7" fillId="9" borderId="12" xfId="5" applyFont="1" applyFill="1" applyBorder="1" applyAlignment="1">
      <alignment horizontal="left" wrapText="1"/>
    </xf>
    <xf numFmtId="0" fontId="2" fillId="9" borderId="9" xfId="0" applyFont="1" applyFill="1" applyBorder="1" applyAlignment="1">
      <alignment horizontal="center" wrapText="1"/>
    </xf>
    <xf numFmtId="0" fontId="7" fillId="9" borderId="9" xfId="2" applyFont="1" applyFill="1" applyBorder="1" applyAlignment="1">
      <alignment horizontal="left" wrapText="1"/>
    </xf>
    <xf numFmtId="0" fontId="7" fillId="9" borderId="9" xfId="0" applyFont="1" applyFill="1" applyBorder="1" applyAlignment="1">
      <alignment horizontal="left" wrapText="1"/>
    </xf>
    <xf numFmtId="0" fontId="7" fillId="9" borderId="2" xfId="0" applyFont="1" applyFill="1" applyBorder="1" applyAlignment="1">
      <alignment wrapText="1"/>
    </xf>
    <xf numFmtId="0" fontId="0" fillId="9" borderId="2" xfId="0" applyFill="1" applyBorder="1" applyAlignment="1">
      <alignment wrapText="1"/>
    </xf>
    <xf numFmtId="0" fontId="21" fillId="9" borderId="2" xfId="4" applyFont="1" applyFill="1" applyBorder="1" applyAlignment="1">
      <alignment wrapText="1"/>
    </xf>
    <xf numFmtId="0" fontId="11" fillId="9" borderId="2" xfId="0" applyFont="1" applyFill="1" applyBorder="1" applyAlignment="1">
      <alignment wrapText="1"/>
    </xf>
    <xf numFmtId="0" fontId="9" fillId="9" borderId="2" xfId="4" applyFont="1" applyFill="1" applyBorder="1" applyAlignment="1">
      <alignment wrapText="1"/>
    </xf>
    <xf numFmtId="0" fontId="13" fillId="5" borderId="2" xfId="4" applyFont="1" applyFill="1" applyBorder="1" applyAlignment="1">
      <alignment wrapText="1"/>
    </xf>
    <xf numFmtId="0" fontId="4" fillId="9" borderId="2" xfId="1" applyFill="1" applyBorder="1" applyAlignment="1" applyProtection="1">
      <alignment wrapText="1"/>
    </xf>
    <xf numFmtId="0" fontId="9" fillId="5" borderId="13" xfId="4" applyFont="1" applyFill="1" applyBorder="1" applyAlignment="1">
      <alignment wrapText="1"/>
    </xf>
    <xf numFmtId="0" fontId="0" fillId="10" borderId="0" xfId="0" applyFill="1"/>
    <xf numFmtId="0" fontId="3" fillId="0" borderId="2" xfId="0" applyFont="1" applyBorder="1"/>
    <xf numFmtId="0" fontId="3" fillId="0" borderId="2" xfId="0" applyFont="1" applyBorder="1" applyAlignment="1">
      <alignment wrapText="1"/>
    </xf>
    <xf numFmtId="0" fontId="0" fillId="10" borderId="2" xfId="0" applyFill="1" applyBorder="1"/>
    <xf numFmtId="0" fontId="0" fillId="10" borderId="5" xfId="0" applyFill="1" applyBorder="1"/>
    <xf numFmtId="0" fontId="2" fillId="10" borderId="0" xfId="0" applyFont="1" applyFill="1"/>
    <xf numFmtId="0" fontId="22" fillId="5" borderId="2" xfId="4" applyFont="1" applyFill="1" applyBorder="1" applyAlignment="1">
      <alignment wrapText="1"/>
    </xf>
    <xf numFmtId="0" fontId="0" fillId="0" borderId="3" xfId="0" applyBorder="1"/>
    <xf numFmtId="0" fontId="13" fillId="5" borderId="8" xfId="4" applyFont="1" applyFill="1" applyBorder="1" applyAlignment="1">
      <alignment wrapText="1"/>
    </xf>
    <xf numFmtId="0" fontId="9" fillId="5" borderId="1" xfId="4" applyFont="1" applyFill="1" applyBorder="1" applyAlignment="1">
      <alignment wrapText="1"/>
    </xf>
    <xf numFmtId="0" fontId="13" fillId="5" borderId="1" xfId="4" applyFont="1" applyFill="1" applyBorder="1" applyAlignment="1">
      <alignment wrapText="1"/>
    </xf>
    <xf numFmtId="0" fontId="9" fillId="5" borderId="12" xfId="4" applyFont="1" applyFill="1" applyBorder="1" applyAlignment="1">
      <alignment wrapText="1"/>
    </xf>
    <xf numFmtId="0" fontId="9" fillId="5" borderId="14" xfId="4" applyFont="1" applyFill="1" applyBorder="1" applyAlignment="1">
      <alignment wrapText="1"/>
    </xf>
    <xf numFmtId="0" fontId="0" fillId="10" borderId="15" xfId="0" applyFill="1" applyBorder="1"/>
    <xf numFmtId="0" fontId="0" fillId="0" borderId="1" xfId="0" applyBorder="1"/>
    <xf numFmtId="0" fontId="2" fillId="11" borderId="16" xfId="0" applyFont="1" applyFill="1" applyBorder="1" applyAlignment="1">
      <alignment horizontal="center" vertical="center"/>
    </xf>
    <xf numFmtId="0" fontId="2" fillId="6" borderId="17" xfId="0" applyFont="1" applyFill="1" applyBorder="1" applyAlignment="1">
      <alignment horizontal="center" vertical="center"/>
    </xf>
    <xf numFmtId="0" fontId="0" fillId="9" borderId="2" xfId="0" applyFont="1" applyFill="1" applyBorder="1" applyAlignment="1">
      <alignment horizontal="left" wrapText="1"/>
    </xf>
    <xf numFmtId="0" fontId="10" fillId="9" borderId="2" xfId="4" applyFont="1" applyFill="1" applyBorder="1" applyAlignment="1">
      <alignment wrapText="1"/>
    </xf>
    <xf numFmtId="0" fontId="23" fillId="9" borderId="2" xfId="0" applyFont="1" applyFill="1" applyBorder="1" applyAlignment="1">
      <alignment wrapText="1"/>
    </xf>
    <xf numFmtId="0" fontId="4" fillId="9" borderId="2" xfId="1" applyFill="1" applyBorder="1" applyAlignment="1" applyProtection="1"/>
    <xf numFmtId="0" fontId="11" fillId="9" borderId="2" xfId="4" applyFont="1" applyFill="1" applyBorder="1" applyAlignment="1">
      <alignment wrapText="1"/>
    </xf>
    <xf numFmtId="0" fontId="0" fillId="0" borderId="0" xfId="0" applyBorder="1"/>
    <xf numFmtId="0" fontId="3" fillId="5" borderId="2" xfId="0" applyFont="1" applyFill="1" applyBorder="1" applyAlignment="1">
      <alignment wrapText="1"/>
    </xf>
    <xf numFmtId="0" fontId="0" fillId="0" borderId="2" xfId="0" applyFill="1" applyBorder="1"/>
    <xf numFmtId="0" fontId="0" fillId="0" borderId="0" xfId="0" applyAlignment="1">
      <alignment horizontal="center"/>
    </xf>
    <xf numFmtId="0" fontId="3" fillId="5" borderId="2" xfId="2" applyFont="1" applyFill="1" applyBorder="1" applyAlignment="1">
      <alignment horizontal="left" wrapText="1"/>
    </xf>
    <xf numFmtId="0" fontId="3" fillId="5" borderId="2" xfId="2" applyFont="1" applyFill="1" applyBorder="1" applyAlignment="1">
      <alignment horizontal="left" vertical="top" wrapText="1"/>
    </xf>
    <xf numFmtId="0" fontId="3" fillId="5" borderId="2" xfId="5" applyFont="1" applyFill="1" applyBorder="1" applyAlignment="1">
      <alignment horizontal="left" wrapText="1"/>
    </xf>
    <xf numFmtId="0" fontId="3" fillId="5" borderId="2" xfId="0" applyFont="1" applyFill="1" applyBorder="1" applyAlignment="1">
      <alignment horizontal="left" wrapText="1"/>
    </xf>
    <xf numFmtId="0" fontId="3" fillId="5" borderId="2" xfId="5" applyFont="1" applyFill="1" applyBorder="1" applyAlignment="1">
      <alignment horizontal="left" vertical="top" wrapText="1"/>
    </xf>
    <xf numFmtId="0" fontId="3" fillId="5" borderId="2" xfId="5" applyFont="1" applyFill="1" applyBorder="1" applyAlignment="1">
      <alignment vertical="top" wrapText="1"/>
    </xf>
    <xf numFmtId="0" fontId="3" fillId="5" borderId="1" xfId="0" applyFont="1" applyFill="1" applyBorder="1" applyAlignment="1">
      <alignment horizontal="left" vertical="top" wrapText="1"/>
    </xf>
    <xf numFmtId="0" fontId="17" fillId="13" borderId="2" xfId="0" applyFont="1" applyFill="1" applyBorder="1" applyAlignment="1">
      <alignment horizontal="center" vertical="center" wrapText="1"/>
    </xf>
    <xf numFmtId="0" fontId="0" fillId="0" borderId="2" xfId="0" applyBorder="1" applyAlignment="1">
      <alignment horizontal="center"/>
    </xf>
    <xf numFmtId="0" fontId="3" fillId="5" borderId="2" xfId="0" applyFont="1" applyFill="1" applyBorder="1" applyAlignment="1">
      <alignment horizontal="left" vertical="top" wrapText="1"/>
    </xf>
    <xf numFmtId="0" fontId="3" fillId="0" borderId="2" xfId="0" applyFont="1" applyBorder="1" applyAlignment="1"/>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2" xfId="4" applyFont="1" applyFill="1" applyBorder="1" applyAlignment="1">
      <alignment horizontal="left" vertical="top" wrapText="1"/>
    </xf>
    <xf numFmtId="0" fontId="3" fillId="5" borderId="1" xfId="4" applyFont="1" applyFill="1" applyBorder="1" applyAlignment="1">
      <alignment horizontal="left" vertical="top" wrapText="1"/>
    </xf>
    <xf numFmtId="0" fontId="3" fillId="0" borderId="4" xfId="0" applyFont="1" applyBorder="1" applyAlignment="1">
      <alignment wrapText="1"/>
    </xf>
    <xf numFmtId="0" fontId="19" fillId="0" borderId="2" xfId="0" applyFont="1" applyBorder="1" applyAlignment="1">
      <alignment horizontal="left" vertical="center" wrapText="1"/>
    </xf>
    <xf numFmtId="0" fontId="25" fillId="0" borderId="2" xfId="0" applyFont="1" applyBorder="1" applyAlignment="1">
      <alignment horizontal="left" vertical="center" wrapText="1"/>
    </xf>
    <xf numFmtId="0" fontId="28" fillId="0" borderId="2" xfId="0" applyFont="1" applyBorder="1" applyAlignment="1">
      <alignment horizontal="left" vertical="center" wrapText="1"/>
    </xf>
    <xf numFmtId="0" fontId="19" fillId="15" borderId="4" xfId="0" applyFont="1" applyFill="1" applyBorder="1" applyAlignment="1">
      <alignment horizontal="center" vertical="center" wrapText="1"/>
    </xf>
    <xf numFmtId="0" fontId="31" fillId="15" borderId="5" xfId="0" applyFont="1" applyFill="1" applyBorder="1" applyAlignment="1">
      <alignment horizontal="center" vertical="center" wrapText="1"/>
    </xf>
    <xf numFmtId="0" fontId="32" fillId="0" borderId="2" xfId="0" applyFont="1" applyBorder="1" applyAlignment="1">
      <alignment horizontal="center" vertical="center" wrapText="1"/>
    </xf>
    <xf numFmtId="0" fontId="19" fillId="15" borderId="2" xfId="0" applyFont="1" applyFill="1" applyBorder="1" applyAlignment="1">
      <alignment horizontal="center" vertical="center" wrapText="1"/>
    </xf>
    <xf numFmtId="0" fontId="17" fillId="0" borderId="2" xfId="0" applyFont="1" applyBorder="1" applyAlignment="1">
      <alignment horizontal="justify" vertical="center" wrapText="1"/>
    </xf>
    <xf numFmtId="0" fontId="33" fillId="0" borderId="2" xfId="0" applyFont="1" applyBorder="1" applyAlignment="1">
      <alignment horizontal="center" vertical="center" wrapText="1"/>
    </xf>
    <xf numFmtId="164" fontId="33" fillId="0" borderId="2" xfId="0" applyNumberFormat="1" applyFont="1" applyBorder="1" applyAlignment="1">
      <alignment horizontal="center" vertical="center" wrapText="1"/>
    </xf>
    <xf numFmtId="0" fontId="34" fillId="0" borderId="2" xfId="0" applyFont="1" applyBorder="1" applyAlignment="1">
      <alignment horizontal="center" vertical="center" wrapText="1"/>
    </xf>
    <xf numFmtId="0" fontId="35" fillId="0" borderId="2" xfId="0" applyFont="1" applyBorder="1" applyAlignment="1">
      <alignment horizontal="center" vertical="center" wrapText="1"/>
    </xf>
    <xf numFmtId="0" fontId="3" fillId="0" borderId="0" xfId="0" applyFont="1" applyAlignment="1">
      <alignment wrapText="1"/>
    </xf>
    <xf numFmtId="0" fontId="3" fillId="0" borderId="2" xfId="0" applyFont="1" applyBorder="1" applyAlignment="1">
      <alignment horizontal="center"/>
    </xf>
    <xf numFmtId="0" fontId="3" fillId="0" borderId="2" xfId="0" applyFont="1" applyFill="1" applyBorder="1" applyAlignment="1">
      <alignment horizontal="left" vertical="top" wrapText="1"/>
    </xf>
    <xf numFmtId="0" fontId="0" fillId="0" borderId="0" xfId="0" applyAlignment="1">
      <alignment wrapText="1"/>
    </xf>
    <xf numFmtId="0" fontId="3" fillId="0" borderId="0" xfId="0" applyFont="1"/>
    <xf numFmtId="0" fontId="36" fillId="0" borderId="0" xfId="0" applyFont="1" applyAlignment="1">
      <alignment wrapText="1"/>
    </xf>
    <xf numFmtId="0" fontId="37" fillId="0" borderId="0" xfId="0" applyFont="1"/>
    <xf numFmtId="0" fontId="39" fillId="0" borderId="0" xfId="0" applyFont="1" applyAlignment="1">
      <alignment horizontal="justify"/>
    </xf>
    <xf numFmtId="0" fontId="37" fillId="0" borderId="0" xfId="0" applyFont="1" applyAlignment="1"/>
    <xf numFmtId="0" fontId="0" fillId="0" borderId="0" xfId="0" applyAlignment="1"/>
    <xf numFmtId="0" fontId="40" fillId="23" borderId="0" xfId="0" applyFont="1" applyFill="1" applyAlignment="1"/>
    <xf numFmtId="0" fontId="0" fillId="23" borderId="0" xfId="0" applyFill="1" applyAlignment="1"/>
    <xf numFmtId="0" fontId="0" fillId="0" borderId="0" xfId="0" applyFill="1" applyAlignment="1"/>
    <xf numFmtId="0" fontId="41" fillId="0" borderId="0" xfId="0" applyFont="1" applyFill="1" applyAlignment="1"/>
    <xf numFmtId="0" fontId="40" fillId="0" borderId="0" xfId="0" applyFont="1" applyFill="1" applyAlignment="1"/>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41" fillId="0" borderId="5" xfId="0" applyFont="1" applyBorder="1" applyAlignment="1">
      <alignment horizontal="justify" vertical="top" wrapText="1"/>
    </xf>
    <xf numFmtId="0" fontId="41" fillId="0" borderId="6" xfId="0" applyFont="1" applyBorder="1" applyAlignment="1">
      <alignment horizontal="justify" vertical="top" wrapText="1"/>
    </xf>
    <xf numFmtId="0" fontId="42" fillId="0" borderId="0" xfId="0" applyFont="1" applyAlignment="1">
      <alignment horizontal="justify"/>
    </xf>
    <xf numFmtId="0" fontId="41" fillId="0" borderId="0" xfId="0" applyFont="1" applyAlignment="1">
      <alignment horizontal="justify"/>
    </xf>
    <xf numFmtId="0" fontId="0" fillId="0" borderId="0" xfId="0" applyFill="1"/>
    <xf numFmtId="0" fontId="41" fillId="0" borderId="0" xfId="0" applyFont="1"/>
    <xf numFmtId="165" fontId="3" fillId="0" borderId="2" xfId="0" applyNumberFormat="1" applyFont="1" applyFill="1" applyBorder="1" applyAlignment="1">
      <alignment horizontal="center"/>
    </xf>
    <xf numFmtId="0" fontId="3" fillId="0" borderId="2" xfId="0" applyFont="1" applyFill="1" applyBorder="1"/>
    <xf numFmtId="0" fontId="3" fillId="0" borderId="1" xfId="0" applyFont="1" applyFill="1" applyBorder="1" applyAlignment="1">
      <alignment horizontal="left" vertical="top" wrapText="1"/>
    </xf>
    <xf numFmtId="0" fontId="3" fillId="0" borderId="5" xfId="0" applyFont="1" applyFill="1" applyBorder="1" applyAlignment="1">
      <alignment horizontal="left" vertical="top" wrapText="1"/>
    </xf>
    <xf numFmtId="0" fontId="3" fillId="0" borderId="2" xfId="0" applyFont="1" applyFill="1" applyBorder="1" applyAlignment="1"/>
    <xf numFmtId="0" fontId="43" fillId="0" borderId="2" xfId="1" applyFont="1" applyFill="1" applyBorder="1" applyAlignment="1" applyProtection="1">
      <alignment horizontal="left" vertical="center"/>
    </xf>
    <xf numFmtId="0" fontId="3" fillId="0" borderId="2" xfId="0" applyFont="1" applyFill="1" applyBorder="1" applyAlignment="1">
      <alignment wrapText="1"/>
    </xf>
    <xf numFmtId="0" fontId="3" fillId="0" borderId="18" xfId="0" applyFont="1" applyBorder="1" applyAlignment="1"/>
    <xf numFmtId="0" fontId="3" fillId="0" borderId="18" xfId="0" applyFont="1" applyBorder="1" applyAlignment="1">
      <alignment horizontal="center"/>
    </xf>
    <xf numFmtId="0" fontId="3" fillId="0" borderId="3" xfId="0" applyFont="1" applyBorder="1" applyAlignment="1">
      <alignment wrapText="1"/>
    </xf>
    <xf numFmtId="0" fontId="17" fillId="0" borderId="2" xfId="0" applyFont="1" applyBorder="1" applyAlignment="1">
      <alignment horizontal="left" vertical="center" wrapText="1"/>
    </xf>
    <xf numFmtId="0" fontId="19" fillId="15" borderId="2" xfId="0" applyFont="1" applyFill="1" applyBorder="1" applyAlignment="1">
      <alignment horizontal="center" vertical="center" wrapText="1"/>
    </xf>
    <xf numFmtId="0" fontId="25" fillId="0" borderId="2" xfId="0" applyFont="1" applyBorder="1" applyAlignment="1">
      <alignment horizontal="left" vertical="center" wrapText="1"/>
    </xf>
    <xf numFmtId="0" fontId="26" fillId="0" borderId="2" xfId="0" applyFont="1" applyBorder="1" applyAlignment="1">
      <alignment horizontal="left" vertical="center" wrapText="1"/>
    </xf>
    <xf numFmtId="0" fontId="27" fillId="0" borderId="2" xfId="0" applyFont="1" applyBorder="1" applyAlignment="1">
      <alignment horizontal="left" vertical="center" wrapText="1"/>
    </xf>
    <xf numFmtId="0" fontId="29" fillId="0" borderId="0" xfId="0" applyFont="1" applyAlignment="1">
      <alignment horizontal="center" vertical="center"/>
    </xf>
    <xf numFmtId="0" fontId="30" fillId="0" borderId="0" xfId="0" applyFont="1" applyBorder="1" applyAlignment="1">
      <alignment horizontal="justify" vertical="center" wrapText="1"/>
    </xf>
    <xf numFmtId="0" fontId="19" fillId="15" borderId="2" xfId="0" applyFont="1" applyFill="1" applyBorder="1" applyAlignment="1">
      <alignment horizontal="left" vertical="center" wrapText="1"/>
    </xf>
    <xf numFmtId="0" fontId="19" fillId="15" borderId="1" xfId="0" applyFont="1" applyFill="1" applyBorder="1" applyAlignment="1">
      <alignment horizontal="center" vertical="center" wrapText="1"/>
    </xf>
    <xf numFmtId="0" fontId="19" fillId="15" borderId="18" xfId="0" applyFont="1" applyFill="1" applyBorder="1" applyAlignment="1">
      <alignment horizontal="center" vertical="center" wrapText="1"/>
    </xf>
    <xf numFmtId="0" fontId="19" fillId="15" borderId="3" xfId="0" applyFont="1" applyFill="1" applyBorder="1" applyAlignment="1">
      <alignment horizontal="center" vertical="center" wrapText="1"/>
    </xf>
    <xf numFmtId="0" fontId="0" fillId="0" borderId="0" xfId="0" applyAlignment="1">
      <alignment wrapText="1"/>
    </xf>
    <xf numFmtId="0" fontId="38" fillId="0" borderId="0" xfId="0" applyFont="1" applyAlignment="1">
      <alignment horizontal="left" vertical="top" wrapText="1"/>
    </xf>
    <xf numFmtId="0" fontId="17" fillId="0" borderId="0" xfId="0" applyFont="1" applyAlignment="1">
      <alignment horizontal="left" vertical="top"/>
    </xf>
    <xf numFmtId="0" fontId="24" fillId="9" borderId="7" xfId="6" applyFont="1" applyFill="1" applyBorder="1" applyAlignment="1">
      <alignment horizontal="center" vertical="center"/>
    </xf>
    <xf numFmtId="0" fontId="24" fillId="9" borderId="8" xfId="6" applyFont="1" applyFill="1" applyBorder="1" applyAlignment="1">
      <alignment horizontal="center" vertical="center"/>
    </xf>
    <xf numFmtId="0" fontId="24" fillId="9" borderId="19" xfId="6" applyFont="1" applyFill="1" applyBorder="1" applyAlignment="1">
      <alignment horizontal="center" vertical="center"/>
    </xf>
    <xf numFmtId="0" fontId="24" fillId="9" borderId="11" xfId="6" applyFont="1" applyFill="1" applyBorder="1" applyAlignment="1">
      <alignment horizontal="center" vertical="center"/>
    </xf>
    <xf numFmtId="0" fontId="24" fillId="9" borderId="9" xfId="6" applyFont="1" applyFill="1" applyBorder="1" applyAlignment="1">
      <alignment horizontal="center" vertical="center"/>
    </xf>
    <xf numFmtId="0" fontId="24" fillId="9" borderId="20" xfId="6" applyFont="1" applyFill="1" applyBorder="1" applyAlignment="1">
      <alignment horizontal="center" vertical="center"/>
    </xf>
    <xf numFmtId="0" fontId="24" fillId="9" borderId="21" xfId="6" applyFont="1" applyFill="1" applyBorder="1" applyAlignment="1">
      <alignment horizontal="center" vertical="center"/>
    </xf>
    <xf numFmtId="0" fontId="24" fillId="9" borderId="22" xfId="6" applyFont="1" applyFill="1" applyBorder="1" applyAlignment="1">
      <alignment horizontal="center" vertical="center"/>
    </xf>
    <xf numFmtId="0" fontId="24" fillId="9" borderId="23" xfId="6" applyFont="1" applyFill="1" applyBorder="1" applyAlignment="1">
      <alignment horizontal="center" vertical="center"/>
    </xf>
    <xf numFmtId="165" fontId="2" fillId="21" borderId="1" xfId="0" applyNumberFormat="1" applyFont="1" applyFill="1" applyBorder="1" applyAlignment="1">
      <alignment horizontal="center"/>
    </xf>
    <xf numFmtId="165" fontId="2" fillId="21" borderId="18" xfId="0" applyNumberFormat="1" applyFont="1" applyFill="1" applyBorder="1" applyAlignment="1">
      <alignment horizontal="center"/>
    </xf>
    <xf numFmtId="165" fontId="2" fillId="21" borderId="3" xfId="0" applyNumberFormat="1" applyFont="1" applyFill="1" applyBorder="1" applyAlignment="1">
      <alignment horizontal="center"/>
    </xf>
    <xf numFmtId="165" fontId="2" fillId="17" borderId="1" xfId="0" applyNumberFormat="1" applyFont="1" applyFill="1" applyBorder="1" applyAlignment="1">
      <alignment horizontal="center"/>
    </xf>
    <xf numFmtId="165" fontId="2" fillId="17" borderId="18" xfId="0" applyNumberFormat="1" applyFont="1" applyFill="1" applyBorder="1" applyAlignment="1">
      <alignment horizontal="center"/>
    </xf>
    <xf numFmtId="165" fontId="2" fillId="17" borderId="3" xfId="0" applyNumberFormat="1" applyFont="1" applyFill="1" applyBorder="1" applyAlignment="1">
      <alignment horizontal="center"/>
    </xf>
    <xf numFmtId="165" fontId="2" fillId="7" borderId="1" xfId="0" applyNumberFormat="1" applyFont="1" applyFill="1" applyBorder="1" applyAlignment="1">
      <alignment horizontal="center"/>
    </xf>
    <xf numFmtId="165" fontId="2" fillId="7" borderId="18" xfId="0" applyNumberFormat="1" applyFont="1" applyFill="1" applyBorder="1" applyAlignment="1">
      <alignment horizontal="center"/>
    </xf>
    <xf numFmtId="165" fontId="2" fillId="7" borderId="3" xfId="0" applyNumberFormat="1" applyFont="1" applyFill="1" applyBorder="1" applyAlignment="1">
      <alignment horizontal="center"/>
    </xf>
    <xf numFmtId="165" fontId="2" fillId="18" borderId="1" xfId="0" applyNumberFormat="1" applyFont="1" applyFill="1" applyBorder="1" applyAlignment="1">
      <alignment horizontal="center"/>
    </xf>
    <xf numFmtId="165" fontId="2" fillId="18" borderId="18" xfId="0" applyNumberFormat="1" applyFont="1" applyFill="1" applyBorder="1" applyAlignment="1">
      <alignment horizontal="center"/>
    </xf>
    <xf numFmtId="165" fontId="2" fillId="18" borderId="3" xfId="0" applyNumberFormat="1" applyFont="1" applyFill="1" applyBorder="1" applyAlignment="1">
      <alignment horizontal="center"/>
    </xf>
    <xf numFmtId="165" fontId="2" fillId="19" borderId="1" xfId="0" applyNumberFormat="1" applyFont="1" applyFill="1" applyBorder="1" applyAlignment="1">
      <alignment horizontal="center"/>
    </xf>
    <xf numFmtId="165" fontId="2" fillId="19" borderId="18" xfId="0" applyNumberFormat="1" applyFont="1" applyFill="1" applyBorder="1" applyAlignment="1">
      <alignment horizontal="center"/>
    </xf>
    <xf numFmtId="165" fontId="2" fillId="19" borderId="3" xfId="0" applyNumberFormat="1" applyFont="1" applyFill="1" applyBorder="1" applyAlignment="1">
      <alignment horizontal="center"/>
    </xf>
    <xf numFmtId="165" fontId="2" fillId="20" borderId="1" xfId="0" applyNumberFormat="1" applyFont="1" applyFill="1" applyBorder="1" applyAlignment="1">
      <alignment horizontal="center"/>
    </xf>
    <xf numFmtId="165" fontId="2" fillId="20" borderId="18" xfId="0" applyNumberFormat="1" applyFont="1" applyFill="1" applyBorder="1" applyAlignment="1">
      <alignment horizontal="center"/>
    </xf>
    <xf numFmtId="165" fontId="2" fillId="20" borderId="3" xfId="0" applyNumberFormat="1" applyFont="1" applyFill="1" applyBorder="1" applyAlignment="1">
      <alignment horizontal="center"/>
    </xf>
    <xf numFmtId="0" fontId="2" fillId="22" borderId="0" xfId="0" applyFont="1" applyFill="1" applyAlignment="1">
      <alignment horizontal="center"/>
    </xf>
    <xf numFmtId="0" fontId="8" fillId="14" borderId="0" xfId="0" applyFont="1" applyFill="1" applyAlignment="1">
      <alignment horizontal="center"/>
    </xf>
    <xf numFmtId="0" fontId="1" fillId="7" borderId="0" xfId="0" applyFont="1" applyFill="1"/>
    <xf numFmtId="0" fontId="2" fillId="15" borderId="2" xfId="0" applyFont="1" applyFill="1" applyBorder="1" applyAlignment="1">
      <alignment horizontal="center" vertical="center" wrapText="1"/>
    </xf>
    <xf numFmtId="0" fontId="3" fillId="3" borderId="0" xfId="3" applyFont="1" applyAlignment="1">
      <alignment horizontal="left" vertical="center"/>
    </xf>
    <xf numFmtId="0" fontId="3" fillId="20" borderId="0" xfId="0" applyFont="1" applyFill="1" applyAlignment="1">
      <alignment horizontal="left" vertical="center"/>
    </xf>
    <xf numFmtId="0" fontId="2" fillId="12" borderId="2" xfId="0" applyFont="1" applyFill="1" applyBorder="1" applyAlignment="1">
      <alignment horizontal="center" vertical="top"/>
    </xf>
    <xf numFmtId="0" fontId="2" fillId="12" borderId="2" xfId="0" applyFont="1" applyFill="1" applyBorder="1" applyAlignment="1">
      <alignment horizontal="left" vertical="top"/>
    </xf>
    <xf numFmtId="0" fontId="3" fillId="0" borderId="0" xfId="0" applyFont="1" applyAlignment="1">
      <alignment horizontal="left" vertical="center"/>
    </xf>
    <xf numFmtId="0" fontId="2" fillId="16" borderId="1" xfId="0" applyFont="1" applyFill="1" applyBorder="1" applyAlignment="1">
      <alignment horizontal="center" vertical="top"/>
    </xf>
    <xf numFmtId="0" fontId="2" fillId="16" borderId="18" xfId="0" applyFont="1" applyFill="1" applyBorder="1" applyAlignment="1">
      <alignment horizontal="center" vertical="top"/>
    </xf>
    <xf numFmtId="0" fontId="2" fillId="16" borderId="3" xfId="0" applyFont="1" applyFill="1" applyBorder="1" applyAlignment="1">
      <alignment horizontal="center" vertical="top"/>
    </xf>
    <xf numFmtId="165" fontId="3" fillId="0" borderId="2" xfId="0" applyNumberFormat="1" applyFont="1" applyBorder="1" applyAlignment="1">
      <alignment horizontal="center"/>
    </xf>
    <xf numFmtId="0" fontId="43" fillId="0" borderId="2" xfId="1" applyFont="1" applyBorder="1" applyAlignment="1" applyProtection="1"/>
    <xf numFmtId="0" fontId="43" fillId="0" borderId="2" xfId="1" applyFont="1" applyBorder="1" applyAlignment="1" applyProtection="1">
      <alignment horizontal="left" vertical="center"/>
    </xf>
    <xf numFmtId="0" fontId="3" fillId="0" borderId="1" xfId="0" applyFont="1" applyBorder="1"/>
    <xf numFmtId="0" fontId="43" fillId="5" borderId="2" xfId="1" applyFont="1" applyFill="1" applyBorder="1" applyAlignment="1" applyProtection="1"/>
    <xf numFmtId="0" fontId="43" fillId="5" borderId="2" xfId="1" applyFont="1" applyFill="1" applyBorder="1" applyAlignment="1" applyProtection="1">
      <alignment wrapText="1"/>
    </xf>
    <xf numFmtId="0" fontId="3" fillId="5" borderId="2" xfId="0" applyFont="1" applyFill="1" applyBorder="1" applyAlignment="1">
      <alignment vertical="top" wrapText="1"/>
    </xf>
    <xf numFmtId="0" fontId="3" fillId="0" borderId="2" xfId="0" applyFont="1" applyFill="1" applyBorder="1" applyAlignment="1">
      <alignment horizontal="left" wrapText="1"/>
    </xf>
  </cellXfs>
  <cellStyles count="7">
    <cellStyle name="Hyperlink" xfId="1" builtinId="8"/>
    <cellStyle name="Neutral" xfId="2" builtinId="28"/>
    <cellStyle name="Neutral 2" xfId="3" xr:uid="{00000000-0005-0000-0000-000002000000}"/>
    <cellStyle name="Neutral 3" xfId="4" xr:uid="{00000000-0005-0000-0000-000003000000}"/>
    <cellStyle name="Normal" xfId="0" builtinId="0"/>
    <cellStyle name="Normal 11" xfId="5" xr:uid="{00000000-0005-0000-0000-000005000000}"/>
    <cellStyle name="Normal 2" xfId="6" xr:uid="{00000000-0005-0000-0000-000006000000}"/>
  </cellStyles>
  <dxfs count="152">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ont>
        <color rgb="FF00B050"/>
      </font>
      <fill>
        <patternFill>
          <bgColor theme="6" tint="0.59996337778862885"/>
        </patternFill>
      </fill>
    </dxf>
    <dxf>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789FB"/>
      <color rgb="FFA6C2B2"/>
      <color rgb="FFFFC000"/>
      <color rgb="FFF3748C"/>
      <color rgb="FF92D050"/>
      <color rgb="FF68A7AB"/>
      <color rgb="FF05ABAF"/>
      <color rgb="FF00BCB8"/>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1337137</xdr:colOff>
      <xdr:row>3</xdr:row>
      <xdr:rowOff>4330</xdr:rowOff>
    </xdr:from>
    <xdr:to>
      <xdr:col>2</xdr:col>
      <xdr:colOff>1936346</xdr:colOff>
      <xdr:row>8</xdr:row>
      <xdr:rowOff>10680</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4387" y="688398"/>
          <a:ext cx="2027959" cy="872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2</xdr:col>
      <xdr:colOff>236220</xdr:colOff>
      <xdr:row>3</xdr:row>
      <xdr:rowOff>30480</xdr:rowOff>
    </xdr:to>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43256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28"/>
  <sheetViews>
    <sheetView zoomScale="110" zoomScaleNormal="110" workbookViewId="0">
      <selection activeCell="I11" sqref="I11"/>
    </sheetView>
  </sheetViews>
  <sheetFormatPr defaultRowHeight="13.2" x14ac:dyDescent="0.25"/>
  <cols>
    <col min="1" max="1" width="12.44140625" bestFit="1" customWidth="1"/>
    <col min="2" max="2" width="20.88671875" customWidth="1"/>
    <col min="3" max="3" width="35.6640625" customWidth="1"/>
    <col min="5" max="5" width="18.44140625" customWidth="1"/>
  </cols>
  <sheetData>
    <row r="1" spans="1:6" x14ac:dyDescent="0.25">
      <c r="A1" s="91" t="s">
        <v>183</v>
      </c>
      <c r="B1" s="138" t="s">
        <v>184</v>
      </c>
      <c r="C1" s="138"/>
      <c r="D1" s="91" t="s">
        <v>185</v>
      </c>
      <c r="E1" s="92">
        <v>440</v>
      </c>
    </row>
    <row r="2" spans="1:6" x14ac:dyDescent="0.25">
      <c r="A2" s="91" t="s">
        <v>186</v>
      </c>
      <c r="B2" s="139" t="s">
        <v>187</v>
      </c>
      <c r="C2" s="139"/>
      <c r="D2" s="91" t="s">
        <v>188</v>
      </c>
      <c r="E2" s="92">
        <v>1</v>
      </c>
    </row>
    <row r="3" spans="1:6" ht="26.4" x14ac:dyDescent="0.25">
      <c r="A3" s="91" t="s">
        <v>189</v>
      </c>
      <c r="B3" s="140" t="s">
        <v>199</v>
      </c>
      <c r="C3" s="140"/>
      <c r="D3" s="91" t="s">
        <v>190</v>
      </c>
      <c r="E3" s="93">
        <f ca="1">_xlfn.SHEETS()</f>
        <v>10</v>
      </c>
    </row>
    <row r="5" spans="1:6" x14ac:dyDescent="0.25">
      <c r="D5" t="s">
        <v>363</v>
      </c>
      <c r="F5">
        <v>1</v>
      </c>
    </row>
    <row r="6" spans="1:6" x14ac:dyDescent="0.25">
      <c r="D6" t="s">
        <v>364</v>
      </c>
      <c r="F6" t="s">
        <v>365</v>
      </c>
    </row>
    <row r="9" spans="1:6" ht="22.8" x14ac:dyDescent="0.25">
      <c r="A9" s="141" t="s">
        <v>195</v>
      </c>
      <c r="B9" s="141"/>
      <c r="C9" s="141"/>
      <c r="D9" s="141"/>
      <c r="E9" s="141"/>
    </row>
    <row r="10" spans="1:6" ht="22.8" x14ac:dyDescent="0.25">
      <c r="A10" s="141" t="s">
        <v>196</v>
      </c>
      <c r="B10" s="141"/>
      <c r="C10" s="141"/>
      <c r="D10" s="141"/>
      <c r="E10" s="141"/>
    </row>
    <row r="12" spans="1:6" x14ac:dyDescent="0.25">
      <c r="A12" s="142"/>
      <c r="B12" s="137" t="s">
        <v>0</v>
      </c>
      <c r="C12" s="137" t="s">
        <v>1</v>
      </c>
      <c r="D12" s="94" t="s">
        <v>191</v>
      </c>
      <c r="E12" s="137" t="s">
        <v>4</v>
      </c>
    </row>
    <row r="13" spans="1:6" ht="20.399999999999999" x14ac:dyDescent="0.25">
      <c r="A13" s="142"/>
      <c r="B13" s="137"/>
      <c r="C13" s="137"/>
      <c r="D13" s="95" t="s">
        <v>192</v>
      </c>
      <c r="E13" s="137"/>
    </row>
    <row r="14" spans="1:6" x14ac:dyDescent="0.25">
      <c r="A14" s="143" t="s">
        <v>193</v>
      </c>
      <c r="B14" s="99" t="s">
        <v>96</v>
      </c>
      <c r="C14" s="99" t="s">
        <v>361</v>
      </c>
      <c r="D14" s="100"/>
      <c r="E14" s="99" t="s">
        <v>96</v>
      </c>
    </row>
    <row r="15" spans="1:6" x14ac:dyDescent="0.25">
      <c r="A15" s="143"/>
      <c r="B15" s="101"/>
      <c r="C15" s="102"/>
      <c r="D15" s="99"/>
      <c r="E15" s="99"/>
    </row>
    <row r="16" spans="1:6" x14ac:dyDescent="0.25">
      <c r="A16" s="143" t="s">
        <v>2</v>
      </c>
      <c r="B16" s="99" t="s">
        <v>94</v>
      </c>
      <c r="C16" s="99" t="s">
        <v>362</v>
      </c>
      <c r="D16" s="99"/>
      <c r="E16" s="99" t="s">
        <v>94</v>
      </c>
    </row>
    <row r="17" spans="1:5" x14ac:dyDescent="0.25">
      <c r="A17" s="143"/>
      <c r="B17" s="99"/>
      <c r="C17" s="99"/>
      <c r="D17" s="99"/>
      <c r="E17" s="99"/>
    </row>
    <row r="18" spans="1:5" x14ac:dyDescent="0.25">
      <c r="A18" s="143" t="s">
        <v>3</v>
      </c>
      <c r="B18" s="99" t="s">
        <v>95</v>
      </c>
      <c r="C18" s="99" t="s">
        <v>93</v>
      </c>
      <c r="D18" s="99"/>
      <c r="E18" s="99" t="s">
        <v>95</v>
      </c>
    </row>
    <row r="19" spans="1:5" x14ac:dyDescent="0.25">
      <c r="A19" s="143"/>
      <c r="B19" s="96"/>
      <c r="C19" s="96"/>
      <c r="D19" s="96"/>
      <c r="E19" s="96"/>
    </row>
    <row r="21" spans="1:5" x14ac:dyDescent="0.25">
      <c r="A21" s="144" t="s">
        <v>194</v>
      </c>
      <c r="B21" s="145"/>
      <c r="C21" s="145"/>
      <c r="D21" s="145"/>
      <c r="E21" s="146"/>
    </row>
    <row r="22" spans="1:5" x14ac:dyDescent="0.25">
      <c r="A22" s="97" t="s">
        <v>0</v>
      </c>
      <c r="B22" s="97" t="s">
        <v>1</v>
      </c>
      <c r="C22" s="97" t="s">
        <v>0</v>
      </c>
      <c r="D22" s="137" t="s">
        <v>1</v>
      </c>
      <c r="E22" s="137"/>
    </row>
    <row r="23" spans="1:5" x14ac:dyDescent="0.25">
      <c r="A23" s="98"/>
      <c r="B23" s="98"/>
      <c r="C23" s="98"/>
      <c r="D23" s="136"/>
      <c r="E23" s="136"/>
    </row>
    <row r="24" spans="1:5" x14ac:dyDescent="0.25">
      <c r="A24" s="98"/>
      <c r="B24" s="98"/>
      <c r="C24" s="98"/>
      <c r="D24" s="136"/>
      <c r="E24" s="136"/>
    </row>
    <row r="25" spans="1:5" x14ac:dyDescent="0.25">
      <c r="A25" s="98"/>
      <c r="B25" s="98"/>
      <c r="C25" s="98"/>
      <c r="D25" s="136"/>
      <c r="E25" s="136"/>
    </row>
    <row r="26" spans="1:5" x14ac:dyDescent="0.25">
      <c r="A26" s="98"/>
      <c r="B26" s="98"/>
      <c r="C26" s="98"/>
      <c r="D26" s="136"/>
      <c r="E26" s="136"/>
    </row>
    <row r="27" spans="1:5" x14ac:dyDescent="0.25">
      <c r="A27" s="98"/>
      <c r="B27" s="98"/>
      <c r="C27" s="98"/>
      <c r="D27" s="136"/>
      <c r="E27" s="136"/>
    </row>
    <row r="28" spans="1:5" x14ac:dyDescent="0.25">
      <c r="A28" s="98"/>
      <c r="B28" s="98"/>
      <c r="C28" s="98"/>
      <c r="D28" s="136"/>
      <c r="E28" s="136"/>
    </row>
  </sheetData>
  <mergeCells count="20">
    <mergeCell ref="D22:E22"/>
    <mergeCell ref="D23:E23"/>
    <mergeCell ref="B1:C1"/>
    <mergeCell ref="B2:C2"/>
    <mergeCell ref="B3:C3"/>
    <mergeCell ref="A9:E9"/>
    <mergeCell ref="A12:A13"/>
    <mergeCell ref="B12:B13"/>
    <mergeCell ref="C12:C13"/>
    <mergeCell ref="E12:E13"/>
    <mergeCell ref="A10:E10"/>
    <mergeCell ref="A14:A15"/>
    <mergeCell ref="A16:A17"/>
    <mergeCell ref="A18:A19"/>
    <mergeCell ref="A21:E21"/>
    <mergeCell ref="D24:E24"/>
    <mergeCell ref="D25:E25"/>
    <mergeCell ref="D26:E26"/>
    <mergeCell ref="D27:E27"/>
    <mergeCell ref="D28:E28"/>
  </mergeCells>
  <pageMargins left="0.7" right="0.7" top="0.75" bottom="0.75" header="0.3" footer="0.3"/>
  <pageSetup paperSize="9" orientation="portrait" horizontalDpi="300" verticalDpi="300" r:id="rId1"/>
  <headerFooter>
    <oddFooter>&amp;CValidation Test Plan For Scrambled Keypad/Pinpad Gemalto Private</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1"/>
  <sheetViews>
    <sheetView topLeftCell="A10" workbookViewId="0">
      <selection activeCell="G39" sqref="G39"/>
    </sheetView>
  </sheetViews>
  <sheetFormatPr defaultColWidth="11.44140625" defaultRowHeight="13.2" x14ac:dyDescent="0.25"/>
  <cols>
    <col min="1" max="1" width="16.6640625" customWidth="1"/>
    <col min="2" max="2" width="17.44140625" customWidth="1"/>
    <col min="3" max="3" width="26.44140625" customWidth="1"/>
    <col min="4" max="4" width="25.44140625" customWidth="1"/>
    <col min="5" max="5" width="20.6640625" customWidth="1"/>
    <col min="6" max="6" width="21.44140625" customWidth="1"/>
    <col min="257" max="257" width="16.6640625" customWidth="1"/>
    <col min="258" max="258" width="17.44140625" customWidth="1"/>
    <col min="259" max="259" width="26.44140625" customWidth="1"/>
    <col min="260" max="260" width="25.44140625" customWidth="1"/>
    <col min="261" max="261" width="20.6640625" customWidth="1"/>
    <col min="262" max="262" width="21.44140625" customWidth="1"/>
    <col min="513" max="513" width="16.6640625" customWidth="1"/>
    <col min="514" max="514" width="17.44140625" customWidth="1"/>
    <col min="515" max="515" width="26.44140625" customWidth="1"/>
    <col min="516" max="516" width="25.44140625" customWidth="1"/>
    <col min="517" max="517" width="20.6640625" customWidth="1"/>
    <col min="518" max="518" width="21.44140625" customWidth="1"/>
    <col min="769" max="769" width="16.6640625" customWidth="1"/>
    <col min="770" max="770" width="17.44140625" customWidth="1"/>
    <col min="771" max="771" width="26.44140625" customWidth="1"/>
    <col min="772" max="772" width="25.44140625" customWidth="1"/>
    <col min="773" max="773" width="20.6640625" customWidth="1"/>
    <col min="774" max="774" width="21.44140625" customWidth="1"/>
    <col min="1025" max="1025" width="16.6640625" customWidth="1"/>
    <col min="1026" max="1026" width="17.44140625" customWidth="1"/>
    <col min="1027" max="1027" width="26.44140625" customWidth="1"/>
    <col min="1028" max="1028" width="25.44140625" customWidth="1"/>
    <col min="1029" max="1029" width="20.6640625" customWidth="1"/>
    <col min="1030" max="1030" width="21.44140625" customWidth="1"/>
    <col min="1281" max="1281" width="16.6640625" customWidth="1"/>
    <col min="1282" max="1282" width="17.44140625" customWidth="1"/>
    <col min="1283" max="1283" width="26.44140625" customWidth="1"/>
    <col min="1284" max="1284" width="25.44140625" customWidth="1"/>
    <col min="1285" max="1285" width="20.6640625" customWidth="1"/>
    <col min="1286" max="1286" width="21.44140625" customWidth="1"/>
    <col min="1537" max="1537" width="16.6640625" customWidth="1"/>
    <col min="1538" max="1538" width="17.44140625" customWidth="1"/>
    <col min="1539" max="1539" width="26.44140625" customWidth="1"/>
    <col min="1540" max="1540" width="25.44140625" customWidth="1"/>
    <col min="1541" max="1541" width="20.6640625" customWidth="1"/>
    <col min="1542" max="1542" width="21.44140625" customWidth="1"/>
    <col min="1793" max="1793" width="16.6640625" customWidth="1"/>
    <col min="1794" max="1794" width="17.44140625" customWidth="1"/>
    <col min="1795" max="1795" width="26.44140625" customWidth="1"/>
    <col min="1796" max="1796" width="25.44140625" customWidth="1"/>
    <col min="1797" max="1797" width="20.6640625" customWidth="1"/>
    <col min="1798" max="1798" width="21.44140625" customWidth="1"/>
    <col min="2049" max="2049" width="16.6640625" customWidth="1"/>
    <col min="2050" max="2050" width="17.44140625" customWidth="1"/>
    <col min="2051" max="2051" width="26.44140625" customWidth="1"/>
    <col min="2052" max="2052" width="25.44140625" customWidth="1"/>
    <col min="2053" max="2053" width="20.6640625" customWidth="1"/>
    <col min="2054" max="2054" width="21.44140625" customWidth="1"/>
    <col min="2305" max="2305" width="16.6640625" customWidth="1"/>
    <col min="2306" max="2306" width="17.44140625" customWidth="1"/>
    <col min="2307" max="2307" width="26.44140625" customWidth="1"/>
    <col min="2308" max="2308" width="25.44140625" customWidth="1"/>
    <col min="2309" max="2309" width="20.6640625" customWidth="1"/>
    <col min="2310" max="2310" width="21.44140625" customWidth="1"/>
    <col min="2561" max="2561" width="16.6640625" customWidth="1"/>
    <col min="2562" max="2562" width="17.44140625" customWidth="1"/>
    <col min="2563" max="2563" width="26.44140625" customWidth="1"/>
    <col min="2564" max="2564" width="25.44140625" customWidth="1"/>
    <col min="2565" max="2565" width="20.6640625" customWidth="1"/>
    <col min="2566" max="2566" width="21.44140625" customWidth="1"/>
    <col min="2817" max="2817" width="16.6640625" customWidth="1"/>
    <col min="2818" max="2818" width="17.44140625" customWidth="1"/>
    <col min="2819" max="2819" width="26.44140625" customWidth="1"/>
    <col min="2820" max="2820" width="25.44140625" customWidth="1"/>
    <col min="2821" max="2821" width="20.6640625" customWidth="1"/>
    <col min="2822" max="2822" width="21.44140625" customWidth="1"/>
    <col min="3073" max="3073" width="16.6640625" customWidth="1"/>
    <col min="3074" max="3074" width="17.44140625" customWidth="1"/>
    <col min="3075" max="3075" width="26.44140625" customWidth="1"/>
    <col min="3076" max="3076" width="25.44140625" customWidth="1"/>
    <col min="3077" max="3077" width="20.6640625" customWidth="1"/>
    <col min="3078" max="3078" width="21.44140625" customWidth="1"/>
    <col min="3329" max="3329" width="16.6640625" customWidth="1"/>
    <col min="3330" max="3330" width="17.44140625" customWidth="1"/>
    <col min="3331" max="3331" width="26.44140625" customWidth="1"/>
    <col min="3332" max="3332" width="25.44140625" customWidth="1"/>
    <col min="3333" max="3333" width="20.6640625" customWidth="1"/>
    <col min="3334" max="3334" width="21.44140625" customWidth="1"/>
    <col min="3585" max="3585" width="16.6640625" customWidth="1"/>
    <col min="3586" max="3586" width="17.44140625" customWidth="1"/>
    <col min="3587" max="3587" width="26.44140625" customWidth="1"/>
    <col min="3588" max="3588" width="25.44140625" customWidth="1"/>
    <col min="3589" max="3589" width="20.6640625" customWidth="1"/>
    <col min="3590" max="3590" width="21.44140625" customWidth="1"/>
    <col min="3841" max="3841" width="16.6640625" customWidth="1"/>
    <col min="3842" max="3842" width="17.44140625" customWidth="1"/>
    <col min="3843" max="3843" width="26.44140625" customWidth="1"/>
    <col min="3844" max="3844" width="25.44140625" customWidth="1"/>
    <col min="3845" max="3845" width="20.6640625" customWidth="1"/>
    <col min="3846" max="3846" width="21.44140625" customWidth="1"/>
    <col min="4097" max="4097" width="16.6640625" customWidth="1"/>
    <col min="4098" max="4098" width="17.44140625" customWidth="1"/>
    <col min="4099" max="4099" width="26.44140625" customWidth="1"/>
    <col min="4100" max="4100" width="25.44140625" customWidth="1"/>
    <col min="4101" max="4101" width="20.6640625" customWidth="1"/>
    <col min="4102" max="4102" width="21.44140625" customWidth="1"/>
    <col min="4353" max="4353" width="16.6640625" customWidth="1"/>
    <col min="4354" max="4354" width="17.44140625" customWidth="1"/>
    <col min="4355" max="4355" width="26.44140625" customWidth="1"/>
    <col min="4356" max="4356" width="25.44140625" customWidth="1"/>
    <col min="4357" max="4357" width="20.6640625" customWidth="1"/>
    <col min="4358" max="4358" width="21.44140625" customWidth="1"/>
    <col min="4609" max="4609" width="16.6640625" customWidth="1"/>
    <col min="4610" max="4610" width="17.44140625" customWidth="1"/>
    <col min="4611" max="4611" width="26.44140625" customWidth="1"/>
    <col min="4612" max="4612" width="25.44140625" customWidth="1"/>
    <col min="4613" max="4613" width="20.6640625" customWidth="1"/>
    <col min="4614" max="4614" width="21.44140625" customWidth="1"/>
    <col min="4865" max="4865" width="16.6640625" customWidth="1"/>
    <col min="4866" max="4866" width="17.44140625" customWidth="1"/>
    <col min="4867" max="4867" width="26.44140625" customWidth="1"/>
    <col min="4868" max="4868" width="25.44140625" customWidth="1"/>
    <col min="4869" max="4869" width="20.6640625" customWidth="1"/>
    <col min="4870" max="4870" width="21.44140625" customWidth="1"/>
    <col min="5121" max="5121" width="16.6640625" customWidth="1"/>
    <col min="5122" max="5122" width="17.44140625" customWidth="1"/>
    <col min="5123" max="5123" width="26.44140625" customWidth="1"/>
    <col min="5124" max="5124" width="25.44140625" customWidth="1"/>
    <col min="5125" max="5125" width="20.6640625" customWidth="1"/>
    <col min="5126" max="5126" width="21.44140625" customWidth="1"/>
    <col min="5377" max="5377" width="16.6640625" customWidth="1"/>
    <col min="5378" max="5378" width="17.44140625" customWidth="1"/>
    <col min="5379" max="5379" width="26.44140625" customWidth="1"/>
    <col min="5380" max="5380" width="25.44140625" customWidth="1"/>
    <col min="5381" max="5381" width="20.6640625" customWidth="1"/>
    <col min="5382" max="5382" width="21.44140625" customWidth="1"/>
    <col min="5633" max="5633" width="16.6640625" customWidth="1"/>
    <col min="5634" max="5634" width="17.44140625" customWidth="1"/>
    <col min="5635" max="5635" width="26.44140625" customWidth="1"/>
    <col min="5636" max="5636" width="25.44140625" customWidth="1"/>
    <col min="5637" max="5637" width="20.6640625" customWidth="1"/>
    <col min="5638" max="5638" width="21.44140625" customWidth="1"/>
    <col min="5889" max="5889" width="16.6640625" customWidth="1"/>
    <col min="5890" max="5890" width="17.44140625" customWidth="1"/>
    <col min="5891" max="5891" width="26.44140625" customWidth="1"/>
    <col min="5892" max="5892" width="25.44140625" customWidth="1"/>
    <col min="5893" max="5893" width="20.6640625" customWidth="1"/>
    <col min="5894" max="5894" width="21.44140625" customWidth="1"/>
    <col min="6145" max="6145" width="16.6640625" customWidth="1"/>
    <col min="6146" max="6146" width="17.44140625" customWidth="1"/>
    <col min="6147" max="6147" width="26.44140625" customWidth="1"/>
    <col min="6148" max="6148" width="25.44140625" customWidth="1"/>
    <col min="6149" max="6149" width="20.6640625" customWidth="1"/>
    <col min="6150" max="6150" width="21.44140625" customWidth="1"/>
    <col min="6401" max="6401" width="16.6640625" customWidth="1"/>
    <col min="6402" max="6402" width="17.44140625" customWidth="1"/>
    <col min="6403" max="6403" width="26.44140625" customWidth="1"/>
    <col min="6404" max="6404" width="25.44140625" customWidth="1"/>
    <col min="6405" max="6405" width="20.6640625" customWidth="1"/>
    <col min="6406" max="6406" width="21.44140625" customWidth="1"/>
    <col min="6657" max="6657" width="16.6640625" customWidth="1"/>
    <col min="6658" max="6658" width="17.44140625" customWidth="1"/>
    <col min="6659" max="6659" width="26.44140625" customWidth="1"/>
    <col min="6660" max="6660" width="25.44140625" customWidth="1"/>
    <col min="6661" max="6661" width="20.6640625" customWidth="1"/>
    <col min="6662" max="6662" width="21.44140625" customWidth="1"/>
    <col min="6913" max="6913" width="16.6640625" customWidth="1"/>
    <col min="6914" max="6914" width="17.44140625" customWidth="1"/>
    <col min="6915" max="6915" width="26.44140625" customWidth="1"/>
    <col min="6916" max="6916" width="25.44140625" customWidth="1"/>
    <col min="6917" max="6917" width="20.6640625" customWidth="1"/>
    <col min="6918" max="6918" width="21.44140625" customWidth="1"/>
    <col min="7169" max="7169" width="16.6640625" customWidth="1"/>
    <col min="7170" max="7170" width="17.44140625" customWidth="1"/>
    <col min="7171" max="7171" width="26.44140625" customWidth="1"/>
    <col min="7172" max="7172" width="25.44140625" customWidth="1"/>
    <col min="7173" max="7173" width="20.6640625" customWidth="1"/>
    <col min="7174" max="7174" width="21.44140625" customWidth="1"/>
    <col min="7425" max="7425" width="16.6640625" customWidth="1"/>
    <col min="7426" max="7426" width="17.44140625" customWidth="1"/>
    <col min="7427" max="7427" width="26.44140625" customWidth="1"/>
    <col min="7428" max="7428" width="25.44140625" customWidth="1"/>
    <col min="7429" max="7429" width="20.6640625" customWidth="1"/>
    <col min="7430" max="7430" width="21.44140625" customWidth="1"/>
    <col min="7681" max="7681" width="16.6640625" customWidth="1"/>
    <col min="7682" max="7682" width="17.44140625" customWidth="1"/>
    <col min="7683" max="7683" width="26.44140625" customWidth="1"/>
    <col min="7684" max="7684" width="25.44140625" customWidth="1"/>
    <col min="7685" max="7685" width="20.6640625" customWidth="1"/>
    <col min="7686" max="7686" width="21.44140625" customWidth="1"/>
    <col min="7937" max="7937" width="16.6640625" customWidth="1"/>
    <col min="7938" max="7938" width="17.44140625" customWidth="1"/>
    <col min="7939" max="7939" width="26.44140625" customWidth="1"/>
    <col min="7940" max="7940" width="25.44140625" customWidth="1"/>
    <col min="7941" max="7941" width="20.6640625" customWidth="1"/>
    <col min="7942" max="7942" width="21.44140625" customWidth="1"/>
    <col min="8193" max="8193" width="16.6640625" customWidth="1"/>
    <col min="8194" max="8194" width="17.44140625" customWidth="1"/>
    <col min="8195" max="8195" width="26.44140625" customWidth="1"/>
    <col min="8196" max="8196" width="25.44140625" customWidth="1"/>
    <col min="8197" max="8197" width="20.6640625" customWidth="1"/>
    <col min="8198" max="8198" width="21.44140625" customWidth="1"/>
    <col min="8449" max="8449" width="16.6640625" customWidth="1"/>
    <col min="8450" max="8450" width="17.44140625" customWidth="1"/>
    <col min="8451" max="8451" width="26.44140625" customWidth="1"/>
    <col min="8452" max="8452" width="25.44140625" customWidth="1"/>
    <col min="8453" max="8453" width="20.6640625" customWidth="1"/>
    <col min="8454" max="8454" width="21.44140625" customWidth="1"/>
    <col min="8705" max="8705" width="16.6640625" customWidth="1"/>
    <col min="8706" max="8706" width="17.44140625" customWidth="1"/>
    <col min="8707" max="8707" width="26.44140625" customWidth="1"/>
    <col min="8708" max="8708" width="25.44140625" customWidth="1"/>
    <col min="8709" max="8709" width="20.6640625" customWidth="1"/>
    <col min="8710" max="8710" width="21.44140625" customWidth="1"/>
    <col min="8961" max="8961" width="16.6640625" customWidth="1"/>
    <col min="8962" max="8962" width="17.44140625" customWidth="1"/>
    <col min="8963" max="8963" width="26.44140625" customWidth="1"/>
    <col min="8964" max="8964" width="25.44140625" customWidth="1"/>
    <col min="8965" max="8965" width="20.6640625" customWidth="1"/>
    <col min="8966" max="8966" width="21.44140625" customWidth="1"/>
    <col min="9217" max="9217" width="16.6640625" customWidth="1"/>
    <col min="9218" max="9218" width="17.44140625" customWidth="1"/>
    <col min="9219" max="9219" width="26.44140625" customWidth="1"/>
    <col min="9220" max="9220" width="25.44140625" customWidth="1"/>
    <col min="9221" max="9221" width="20.6640625" customWidth="1"/>
    <col min="9222" max="9222" width="21.44140625" customWidth="1"/>
    <col min="9473" max="9473" width="16.6640625" customWidth="1"/>
    <col min="9474" max="9474" width="17.44140625" customWidth="1"/>
    <col min="9475" max="9475" width="26.44140625" customWidth="1"/>
    <col min="9476" max="9476" width="25.44140625" customWidth="1"/>
    <col min="9477" max="9477" width="20.6640625" customWidth="1"/>
    <col min="9478" max="9478" width="21.44140625" customWidth="1"/>
    <col min="9729" max="9729" width="16.6640625" customWidth="1"/>
    <col min="9730" max="9730" width="17.44140625" customWidth="1"/>
    <col min="9731" max="9731" width="26.44140625" customWidth="1"/>
    <col min="9732" max="9732" width="25.44140625" customWidth="1"/>
    <col min="9733" max="9733" width="20.6640625" customWidth="1"/>
    <col min="9734" max="9734" width="21.44140625" customWidth="1"/>
    <col min="9985" max="9985" width="16.6640625" customWidth="1"/>
    <col min="9986" max="9986" width="17.44140625" customWidth="1"/>
    <col min="9987" max="9987" width="26.44140625" customWidth="1"/>
    <col min="9988" max="9988" width="25.44140625" customWidth="1"/>
    <col min="9989" max="9989" width="20.6640625" customWidth="1"/>
    <col min="9990" max="9990" width="21.44140625" customWidth="1"/>
    <col min="10241" max="10241" width="16.6640625" customWidth="1"/>
    <col min="10242" max="10242" width="17.44140625" customWidth="1"/>
    <col min="10243" max="10243" width="26.44140625" customWidth="1"/>
    <col min="10244" max="10244" width="25.44140625" customWidth="1"/>
    <col min="10245" max="10245" width="20.6640625" customWidth="1"/>
    <col min="10246" max="10246" width="21.44140625" customWidth="1"/>
    <col min="10497" max="10497" width="16.6640625" customWidth="1"/>
    <col min="10498" max="10498" width="17.44140625" customWidth="1"/>
    <col min="10499" max="10499" width="26.44140625" customWidth="1"/>
    <col min="10500" max="10500" width="25.44140625" customWidth="1"/>
    <col min="10501" max="10501" width="20.6640625" customWidth="1"/>
    <col min="10502" max="10502" width="21.44140625" customWidth="1"/>
    <col min="10753" max="10753" width="16.6640625" customWidth="1"/>
    <col min="10754" max="10754" width="17.44140625" customWidth="1"/>
    <col min="10755" max="10755" width="26.44140625" customWidth="1"/>
    <col min="10756" max="10756" width="25.44140625" customWidth="1"/>
    <col min="10757" max="10757" width="20.6640625" customWidth="1"/>
    <col min="10758" max="10758" width="21.44140625" customWidth="1"/>
    <col min="11009" max="11009" width="16.6640625" customWidth="1"/>
    <col min="11010" max="11010" width="17.44140625" customWidth="1"/>
    <col min="11011" max="11011" width="26.44140625" customWidth="1"/>
    <col min="11012" max="11012" width="25.44140625" customWidth="1"/>
    <col min="11013" max="11013" width="20.6640625" customWidth="1"/>
    <col min="11014" max="11014" width="21.44140625" customWidth="1"/>
    <col min="11265" max="11265" width="16.6640625" customWidth="1"/>
    <col min="11266" max="11266" width="17.44140625" customWidth="1"/>
    <col min="11267" max="11267" width="26.44140625" customWidth="1"/>
    <col min="11268" max="11268" width="25.44140625" customWidth="1"/>
    <col min="11269" max="11269" width="20.6640625" customWidth="1"/>
    <col min="11270" max="11270" width="21.44140625" customWidth="1"/>
    <col min="11521" max="11521" width="16.6640625" customWidth="1"/>
    <col min="11522" max="11522" width="17.44140625" customWidth="1"/>
    <col min="11523" max="11523" width="26.44140625" customWidth="1"/>
    <col min="11524" max="11524" width="25.44140625" customWidth="1"/>
    <col min="11525" max="11525" width="20.6640625" customWidth="1"/>
    <col min="11526" max="11526" width="21.44140625" customWidth="1"/>
    <col min="11777" max="11777" width="16.6640625" customWidth="1"/>
    <col min="11778" max="11778" width="17.44140625" customWidth="1"/>
    <col min="11779" max="11779" width="26.44140625" customWidth="1"/>
    <col min="11780" max="11780" width="25.44140625" customWidth="1"/>
    <col min="11781" max="11781" width="20.6640625" customWidth="1"/>
    <col min="11782" max="11782" width="21.44140625" customWidth="1"/>
    <col min="12033" max="12033" width="16.6640625" customWidth="1"/>
    <col min="12034" max="12034" width="17.44140625" customWidth="1"/>
    <col min="12035" max="12035" width="26.44140625" customWidth="1"/>
    <col min="12036" max="12036" width="25.44140625" customWidth="1"/>
    <col min="12037" max="12037" width="20.6640625" customWidth="1"/>
    <col min="12038" max="12038" width="21.44140625" customWidth="1"/>
    <col min="12289" max="12289" width="16.6640625" customWidth="1"/>
    <col min="12290" max="12290" width="17.44140625" customWidth="1"/>
    <col min="12291" max="12291" width="26.44140625" customWidth="1"/>
    <col min="12292" max="12292" width="25.44140625" customWidth="1"/>
    <col min="12293" max="12293" width="20.6640625" customWidth="1"/>
    <col min="12294" max="12294" width="21.44140625" customWidth="1"/>
    <col min="12545" max="12545" width="16.6640625" customWidth="1"/>
    <col min="12546" max="12546" width="17.44140625" customWidth="1"/>
    <col min="12547" max="12547" width="26.44140625" customWidth="1"/>
    <col min="12548" max="12548" width="25.44140625" customWidth="1"/>
    <col min="12549" max="12549" width="20.6640625" customWidth="1"/>
    <col min="12550" max="12550" width="21.44140625" customWidth="1"/>
    <col min="12801" max="12801" width="16.6640625" customWidth="1"/>
    <col min="12802" max="12802" width="17.44140625" customWidth="1"/>
    <col min="12803" max="12803" width="26.44140625" customWidth="1"/>
    <col min="12804" max="12804" width="25.44140625" customWidth="1"/>
    <col min="12805" max="12805" width="20.6640625" customWidth="1"/>
    <col min="12806" max="12806" width="21.44140625" customWidth="1"/>
    <col min="13057" max="13057" width="16.6640625" customWidth="1"/>
    <col min="13058" max="13058" width="17.44140625" customWidth="1"/>
    <col min="13059" max="13059" width="26.44140625" customWidth="1"/>
    <col min="13060" max="13060" width="25.44140625" customWidth="1"/>
    <col min="13061" max="13061" width="20.6640625" customWidth="1"/>
    <col min="13062" max="13062" width="21.44140625" customWidth="1"/>
    <col min="13313" max="13313" width="16.6640625" customWidth="1"/>
    <col min="13314" max="13314" width="17.44140625" customWidth="1"/>
    <col min="13315" max="13315" width="26.44140625" customWidth="1"/>
    <col min="13316" max="13316" width="25.44140625" customWidth="1"/>
    <col min="13317" max="13317" width="20.6640625" customWidth="1"/>
    <col min="13318" max="13318" width="21.44140625" customWidth="1"/>
    <col min="13569" max="13569" width="16.6640625" customWidth="1"/>
    <col min="13570" max="13570" width="17.44140625" customWidth="1"/>
    <col min="13571" max="13571" width="26.44140625" customWidth="1"/>
    <col min="13572" max="13572" width="25.44140625" customWidth="1"/>
    <col min="13573" max="13573" width="20.6640625" customWidth="1"/>
    <col min="13574" max="13574" width="21.44140625" customWidth="1"/>
    <col min="13825" max="13825" width="16.6640625" customWidth="1"/>
    <col min="13826" max="13826" width="17.44140625" customWidth="1"/>
    <col min="13827" max="13827" width="26.44140625" customWidth="1"/>
    <col min="13828" max="13828" width="25.44140625" customWidth="1"/>
    <col min="13829" max="13829" width="20.6640625" customWidth="1"/>
    <col min="13830" max="13830" width="21.44140625" customWidth="1"/>
    <col min="14081" max="14081" width="16.6640625" customWidth="1"/>
    <col min="14082" max="14082" width="17.44140625" customWidth="1"/>
    <col min="14083" max="14083" width="26.44140625" customWidth="1"/>
    <col min="14084" max="14084" width="25.44140625" customWidth="1"/>
    <col min="14085" max="14085" width="20.6640625" customWidth="1"/>
    <col min="14086" max="14086" width="21.44140625" customWidth="1"/>
    <col min="14337" max="14337" width="16.6640625" customWidth="1"/>
    <col min="14338" max="14338" width="17.44140625" customWidth="1"/>
    <col min="14339" max="14339" width="26.44140625" customWidth="1"/>
    <col min="14340" max="14340" width="25.44140625" customWidth="1"/>
    <col min="14341" max="14341" width="20.6640625" customWidth="1"/>
    <col min="14342" max="14342" width="21.44140625" customWidth="1"/>
    <col min="14593" max="14593" width="16.6640625" customWidth="1"/>
    <col min="14594" max="14594" width="17.44140625" customWidth="1"/>
    <col min="14595" max="14595" width="26.44140625" customWidth="1"/>
    <col min="14596" max="14596" width="25.44140625" customWidth="1"/>
    <col min="14597" max="14597" width="20.6640625" customWidth="1"/>
    <col min="14598" max="14598" width="21.44140625" customWidth="1"/>
    <col min="14849" max="14849" width="16.6640625" customWidth="1"/>
    <col min="14850" max="14850" width="17.44140625" customWidth="1"/>
    <col min="14851" max="14851" width="26.44140625" customWidth="1"/>
    <col min="14852" max="14852" width="25.44140625" customWidth="1"/>
    <col min="14853" max="14853" width="20.6640625" customWidth="1"/>
    <col min="14854" max="14854" width="21.44140625" customWidth="1"/>
    <col min="15105" max="15105" width="16.6640625" customWidth="1"/>
    <col min="15106" max="15106" width="17.44140625" customWidth="1"/>
    <col min="15107" max="15107" width="26.44140625" customWidth="1"/>
    <col min="15108" max="15108" width="25.44140625" customWidth="1"/>
    <col min="15109" max="15109" width="20.6640625" customWidth="1"/>
    <col min="15110" max="15110" width="21.44140625" customWidth="1"/>
    <col min="15361" max="15361" width="16.6640625" customWidth="1"/>
    <col min="15362" max="15362" width="17.44140625" customWidth="1"/>
    <col min="15363" max="15363" width="26.44140625" customWidth="1"/>
    <col min="15364" max="15364" width="25.44140625" customWidth="1"/>
    <col min="15365" max="15365" width="20.6640625" customWidth="1"/>
    <col min="15366" max="15366" width="21.44140625" customWidth="1"/>
    <col min="15617" max="15617" width="16.6640625" customWidth="1"/>
    <col min="15618" max="15618" width="17.44140625" customWidth="1"/>
    <col min="15619" max="15619" width="26.44140625" customWidth="1"/>
    <col min="15620" max="15620" width="25.44140625" customWidth="1"/>
    <col min="15621" max="15621" width="20.6640625" customWidth="1"/>
    <col min="15622" max="15622" width="21.44140625" customWidth="1"/>
    <col min="15873" max="15873" width="16.6640625" customWidth="1"/>
    <col min="15874" max="15874" width="17.44140625" customWidth="1"/>
    <col min="15875" max="15875" width="26.44140625" customWidth="1"/>
    <col min="15876" max="15876" width="25.44140625" customWidth="1"/>
    <col min="15877" max="15877" width="20.6640625" customWidth="1"/>
    <col min="15878" max="15878" width="21.44140625" customWidth="1"/>
    <col min="16129" max="16129" width="16.6640625" customWidth="1"/>
    <col min="16130" max="16130" width="17.44140625" customWidth="1"/>
    <col min="16131" max="16131" width="26.44140625" customWidth="1"/>
    <col min="16132" max="16132" width="25.44140625" customWidth="1"/>
    <col min="16133" max="16133" width="20.6640625" customWidth="1"/>
    <col min="16134" max="16134" width="21.44140625" customWidth="1"/>
  </cols>
  <sheetData>
    <row r="2" spans="2:13" ht="38.25" customHeight="1" x14ac:dyDescent="0.25">
      <c r="B2" s="147"/>
      <c r="C2" s="147"/>
      <c r="D2" s="147"/>
      <c r="E2" s="147"/>
      <c r="F2" s="147"/>
    </row>
    <row r="3" spans="2:13" ht="15" customHeight="1" x14ac:dyDescent="0.25">
      <c r="B3" s="106"/>
      <c r="C3" s="106"/>
      <c r="D3" s="106"/>
      <c r="E3" s="106"/>
      <c r="F3" s="106"/>
    </row>
    <row r="4" spans="2:13" ht="15" customHeight="1" x14ac:dyDescent="0.25">
      <c r="B4" s="108"/>
      <c r="C4" s="106"/>
      <c r="D4" s="106"/>
      <c r="E4" s="106"/>
      <c r="F4" s="106"/>
    </row>
    <row r="6" spans="2:13" ht="20.399999999999999" x14ac:dyDescent="0.35">
      <c r="B6" s="109" t="s">
        <v>344</v>
      </c>
    </row>
    <row r="7" spans="2:13" ht="20.399999999999999" x14ac:dyDescent="0.35">
      <c r="B7" s="109"/>
    </row>
    <row r="8" spans="2:13" x14ac:dyDescent="0.25">
      <c r="B8" s="148" t="s">
        <v>357</v>
      </c>
      <c r="C8" s="149"/>
      <c r="D8" s="149"/>
      <c r="E8" s="149"/>
      <c r="F8" s="149"/>
    </row>
    <row r="9" spans="2:13" x14ac:dyDescent="0.25">
      <c r="B9" s="149"/>
      <c r="C9" s="149"/>
      <c r="D9" s="149"/>
      <c r="E9" s="149"/>
      <c r="F9" s="149"/>
    </row>
    <row r="10" spans="2:13" x14ac:dyDescent="0.25">
      <c r="B10" s="149"/>
      <c r="C10" s="149"/>
      <c r="D10" s="149"/>
      <c r="E10" s="149"/>
      <c r="F10" s="149"/>
    </row>
    <row r="11" spans="2:13" x14ac:dyDescent="0.25">
      <c r="B11" s="110"/>
    </row>
    <row r="12" spans="2:13" ht="20.399999999999999" x14ac:dyDescent="0.35">
      <c r="B12" s="111" t="s">
        <v>345</v>
      </c>
      <c r="C12" s="112"/>
      <c r="D12" s="112"/>
      <c r="E12" s="112"/>
      <c r="F12" s="112"/>
      <c r="G12" s="112"/>
      <c r="H12" s="112"/>
      <c r="I12" s="112"/>
      <c r="J12" s="112"/>
      <c r="K12" s="112"/>
      <c r="L12" s="112"/>
      <c r="M12" s="112"/>
    </row>
    <row r="13" spans="2:13" ht="15.6" x14ac:dyDescent="0.3">
      <c r="B13" s="113"/>
      <c r="C13" s="114"/>
      <c r="D13" s="114"/>
      <c r="E13" s="114"/>
      <c r="F13" s="114"/>
      <c r="G13" s="115"/>
      <c r="H13" s="112"/>
      <c r="I13" s="112"/>
      <c r="J13" s="112"/>
      <c r="K13" s="112"/>
    </row>
    <row r="14" spans="2:13" x14ac:dyDescent="0.25">
      <c r="B14" s="116" t="s">
        <v>346</v>
      </c>
      <c r="C14" s="115"/>
      <c r="D14" s="115"/>
      <c r="E14" s="115"/>
      <c r="F14" s="115"/>
      <c r="G14" s="115"/>
      <c r="H14" s="112"/>
      <c r="I14" s="112"/>
      <c r="J14" s="112"/>
      <c r="K14" s="112"/>
    </row>
    <row r="15" spans="2:13" ht="15.6" x14ac:dyDescent="0.3">
      <c r="B15" s="117"/>
      <c r="C15" s="115"/>
      <c r="D15" s="115"/>
      <c r="E15" s="115"/>
      <c r="F15" s="115"/>
      <c r="G15" s="115"/>
      <c r="H15" s="112"/>
      <c r="I15" s="112"/>
      <c r="J15" s="112"/>
      <c r="K15" s="112"/>
    </row>
    <row r="16" spans="2:13" ht="23.25" customHeight="1" x14ac:dyDescent="0.25">
      <c r="B16" s="118" t="s">
        <v>347</v>
      </c>
      <c r="C16" s="119" t="s">
        <v>348</v>
      </c>
      <c r="D16" s="119" t="s">
        <v>349</v>
      </c>
      <c r="E16" s="119" t="s">
        <v>350</v>
      </c>
      <c r="F16" s="119" t="s">
        <v>351</v>
      </c>
    </row>
    <row r="17" spans="2:6" x14ac:dyDescent="0.25">
      <c r="B17" s="120"/>
      <c r="C17" s="121"/>
      <c r="D17" s="121"/>
      <c r="E17" s="121"/>
      <c r="F17" s="121"/>
    </row>
    <row r="18" spans="2:6" x14ac:dyDescent="0.25">
      <c r="B18" s="120"/>
      <c r="C18" s="121"/>
      <c r="D18" s="121"/>
      <c r="E18" s="121"/>
      <c r="F18" s="121"/>
    </row>
    <row r="19" spans="2:6" x14ac:dyDescent="0.25">
      <c r="B19" s="120"/>
      <c r="C19" s="121"/>
      <c r="D19" s="121"/>
      <c r="E19" s="121"/>
      <c r="F19" s="121"/>
    </row>
    <row r="20" spans="2:6" x14ac:dyDescent="0.25">
      <c r="B20" s="122"/>
    </row>
    <row r="21" spans="2:6" x14ac:dyDescent="0.25">
      <c r="B21" s="123"/>
    </row>
    <row r="23" spans="2:6" ht="20.399999999999999" x14ac:dyDescent="0.35">
      <c r="B23" s="111" t="s">
        <v>352</v>
      </c>
      <c r="C23" s="112"/>
      <c r="D23" s="112"/>
      <c r="E23" s="112"/>
      <c r="F23" s="112"/>
    </row>
    <row r="24" spans="2:6" ht="15.6" x14ac:dyDescent="0.3">
      <c r="B24" s="113"/>
      <c r="C24" s="114"/>
      <c r="D24" s="114"/>
      <c r="E24" s="114"/>
      <c r="F24" s="114"/>
    </row>
    <row r="25" spans="2:6" s="124" customFormat="1" x14ac:dyDescent="0.25">
      <c r="B25" s="125" t="s">
        <v>353</v>
      </c>
      <c r="C25" s="115"/>
      <c r="D25" s="115"/>
      <c r="E25" s="115"/>
      <c r="F25" s="115"/>
    </row>
    <row r="26" spans="2:6" ht="15.6" x14ac:dyDescent="0.3">
      <c r="B26" s="117"/>
      <c r="C26" s="115"/>
      <c r="D26" s="115"/>
      <c r="E26" s="115"/>
      <c r="F26" s="115"/>
    </row>
    <row r="27" spans="2:6" ht="22.5" customHeight="1" x14ac:dyDescent="0.25">
      <c r="B27" s="118" t="s">
        <v>347</v>
      </c>
      <c r="C27" s="119" t="s">
        <v>348</v>
      </c>
      <c r="D27" s="119" t="s">
        <v>349</v>
      </c>
      <c r="E27" s="119" t="s">
        <v>350</v>
      </c>
      <c r="F27" s="119" t="s">
        <v>351</v>
      </c>
    </row>
    <row r="28" spans="2:6" x14ac:dyDescent="0.25">
      <c r="B28" s="120"/>
      <c r="C28" s="121"/>
      <c r="D28" s="121"/>
      <c r="E28" s="121"/>
      <c r="F28" s="121"/>
    </row>
    <row r="29" spans="2:6" x14ac:dyDescent="0.25">
      <c r="B29" s="120"/>
      <c r="C29" s="121"/>
      <c r="D29" s="121"/>
      <c r="E29" s="121"/>
      <c r="F29" s="121"/>
    </row>
    <row r="30" spans="2:6" x14ac:dyDescent="0.25">
      <c r="B30" s="120"/>
      <c r="C30" s="121"/>
      <c r="D30" s="121"/>
      <c r="E30" s="121"/>
      <c r="F30" s="121"/>
    </row>
    <row r="34" spans="1:6" ht="20.399999999999999" x14ac:dyDescent="0.35">
      <c r="B34" s="111" t="s">
        <v>354</v>
      </c>
      <c r="C34" s="112"/>
      <c r="D34" s="112"/>
      <c r="E34" s="112"/>
      <c r="F34" s="112"/>
    </row>
    <row r="35" spans="1:6" ht="15.6" x14ac:dyDescent="0.3">
      <c r="B35" s="113"/>
      <c r="C35" s="114"/>
      <c r="D35" s="114"/>
      <c r="E35" s="114"/>
      <c r="F35" s="114"/>
    </row>
    <row r="36" spans="1:6" s="124" customFormat="1" x14ac:dyDescent="0.25">
      <c r="B36" s="125" t="s">
        <v>355</v>
      </c>
      <c r="C36" s="115"/>
      <c r="D36" s="115"/>
      <c r="E36" s="115"/>
      <c r="F36" s="115"/>
    </row>
    <row r="37" spans="1:6" ht="15.6" x14ac:dyDescent="0.3">
      <c r="B37" s="117"/>
      <c r="C37" s="115"/>
      <c r="D37" s="115"/>
      <c r="E37" s="115"/>
      <c r="F37" s="115"/>
    </row>
    <row r="38" spans="1:6" s="124" customFormat="1" ht="23.25" customHeight="1" x14ac:dyDescent="0.25">
      <c r="B38" s="118" t="s">
        <v>347</v>
      </c>
      <c r="C38" s="119" t="s">
        <v>348</v>
      </c>
      <c r="D38" s="119" t="s">
        <v>349</v>
      </c>
      <c r="E38" s="119" t="s">
        <v>350</v>
      </c>
      <c r="F38" s="119" t="s">
        <v>351</v>
      </c>
    </row>
    <row r="39" spans="1:6" x14ac:dyDescent="0.25">
      <c r="A39" t="s">
        <v>356</v>
      </c>
      <c r="B39" s="120"/>
      <c r="C39" s="121"/>
      <c r="D39" s="121"/>
      <c r="E39" s="121"/>
      <c r="F39" s="121"/>
    </row>
    <row r="40" spans="1:6" x14ac:dyDescent="0.25">
      <c r="B40" s="120"/>
      <c r="C40" s="121"/>
      <c r="D40" s="121"/>
      <c r="E40" s="121"/>
      <c r="F40" s="121"/>
    </row>
    <row r="41" spans="1:6" x14ac:dyDescent="0.25">
      <c r="B41" s="120"/>
      <c r="C41" s="121"/>
      <c r="D41" s="121"/>
      <c r="E41" s="121"/>
      <c r="F41" s="121"/>
    </row>
  </sheetData>
  <mergeCells count="2">
    <mergeCell ref="B2:F2"/>
    <mergeCell ref="B8:F10"/>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7"/>
  <sheetViews>
    <sheetView workbookViewId="0">
      <selection activeCell="B16" sqref="B16"/>
    </sheetView>
  </sheetViews>
  <sheetFormatPr defaultColWidth="8.6640625" defaultRowHeight="13.2" x14ac:dyDescent="0.25"/>
  <cols>
    <col min="1" max="1" width="12.44140625" customWidth="1"/>
    <col min="2" max="2" width="27.6640625" customWidth="1"/>
    <col min="4" max="4" width="8.6640625" customWidth="1"/>
    <col min="6" max="6" width="15.6640625" customWidth="1"/>
    <col min="7" max="7" width="14.44140625" customWidth="1"/>
  </cols>
  <sheetData>
    <row r="1" spans="1:7" ht="13.8" thickBot="1" x14ac:dyDescent="0.3"/>
    <row r="2" spans="1:7" ht="25.5" customHeight="1" thickBot="1" x14ac:dyDescent="0.3">
      <c r="A2" s="156" t="s">
        <v>34</v>
      </c>
      <c r="B2" s="157"/>
      <c r="C2" s="157"/>
      <c r="D2" s="157"/>
      <c r="E2" s="157"/>
      <c r="F2" s="157"/>
      <c r="G2" s="158"/>
    </row>
    <row r="3" spans="1:7" ht="25.5" customHeight="1" thickBot="1" x14ac:dyDescent="0.3"/>
    <row r="4" spans="1:7" x14ac:dyDescent="0.25">
      <c r="A4" s="150" t="s">
        <v>57</v>
      </c>
      <c r="B4" s="151"/>
      <c r="C4" s="151"/>
      <c r="D4" s="151"/>
      <c r="E4" s="151"/>
      <c r="F4" s="151"/>
      <c r="G4" s="152"/>
    </row>
    <row r="5" spans="1:7" ht="13.8" thickBot="1" x14ac:dyDescent="0.3">
      <c r="A5" s="153"/>
      <c r="B5" s="154"/>
      <c r="C5" s="154"/>
      <c r="D5" s="154"/>
      <c r="E5" s="154"/>
      <c r="F5" s="154"/>
      <c r="G5" s="155"/>
    </row>
    <row r="6" spans="1:7" x14ac:dyDescent="0.25">
      <c r="A6" s="2"/>
    </row>
    <row r="7" spans="1:7" ht="52.2" x14ac:dyDescent="0.3">
      <c r="A7" s="8" t="s">
        <v>18</v>
      </c>
      <c r="B7" s="6" t="s">
        <v>36</v>
      </c>
      <c r="C7" s="6" t="s">
        <v>35</v>
      </c>
      <c r="D7" s="6" t="s">
        <v>31</v>
      </c>
      <c r="E7" s="6" t="s">
        <v>32</v>
      </c>
      <c r="F7" s="6" t="s">
        <v>33</v>
      </c>
      <c r="G7" s="9" t="s">
        <v>37</v>
      </c>
    </row>
    <row r="8" spans="1:7" x14ac:dyDescent="0.25">
      <c r="A8" s="5" t="s">
        <v>17</v>
      </c>
      <c r="B8" s="19" t="s">
        <v>78</v>
      </c>
      <c r="C8" s="5">
        <v>7</v>
      </c>
      <c r="D8" s="5">
        <f>COUNTIF('VTR Sanity Tests for Android'!G2:G8,"PASS")</f>
        <v>7</v>
      </c>
      <c r="E8" s="5">
        <f>COUNTIF('VTR Sanity Tests for Android'!G2:G8,"Fail")</f>
        <v>0</v>
      </c>
      <c r="F8" s="5">
        <f>COUNTIF('VTR Sanity Tests for Android'!G2:G8,"Not Tested")</f>
        <v>0</v>
      </c>
      <c r="G8" s="3">
        <f>COUNTIF('VTR Sanity Tests for Android'!G2:G8,"Blocked")</f>
        <v>0</v>
      </c>
    </row>
    <row r="9" spans="1:7" ht="17.25" customHeight="1" x14ac:dyDescent="0.25">
      <c r="A9" s="5" t="s">
        <v>17</v>
      </c>
      <c r="B9" s="7" t="s">
        <v>79</v>
      </c>
      <c r="C9" s="5">
        <v>7</v>
      </c>
      <c r="D9" s="5">
        <f>COUNTIF('VTR Sanity Tests for Android'!H2:H8,"PASS")</f>
        <v>7</v>
      </c>
      <c r="E9" s="5">
        <f>COUNTIF('VTR Sanity Tests for Android'!H2:H8,"Fail")</f>
        <v>0</v>
      </c>
      <c r="F9" s="5">
        <f>COUNTIF('VTR Sanity Tests for Android'!H2:H8,"Not Tested")</f>
        <v>0</v>
      </c>
      <c r="G9" s="3">
        <f>COUNTIF('VTR Sanity Tests for Android'!H2:H8,"Blocked")</f>
        <v>0</v>
      </c>
    </row>
    <row r="10" spans="1:7" x14ac:dyDescent="0.25">
      <c r="A10" s="5" t="s">
        <v>17</v>
      </c>
      <c r="B10" s="7" t="s">
        <v>80</v>
      </c>
      <c r="C10" s="5">
        <v>7</v>
      </c>
      <c r="D10" s="5">
        <f>COUNTIF('VTR Sanity Tests for Android'!I2:I8,"PASS")</f>
        <v>7</v>
      </c>
      <c r="E10" s="5">
        <f>COUNTIF('VTR Sanity Tests for Android'!I2:I8,"Fail")</f>
        <v>0</v>
      </c>
      <c r="F10" s="5">
        <f>COUNTIF('VTR Sanity Tests for Android'!I2:I8,"Not Tested")</f>
        <v>0</v>
      </c>
      <c r="G10" s="3">
        <f>COUNTIF('VTR Sanity Tests for Android'!I2:I8,"Blocked")</f>
        <v>0</v>
      </c>
    </row>
    <row r="11" spans="1:7" ht="13.8" thickBot="1" x14ac:dyDescent="0.3">
      <c r="A11" s="11"/>
      <c r="B11" s="11"/>
      <c r="C11" s="11"/>
      <c r="D11" s="11"/>
      <c r="E11" s="11"/>
      <c r="F11" s="11"/>
      <c r="G11" s="12"/>
    </row>
    <row r="12" spans="1:7" x14ac:dyDescent="0.25">
      <c r="A12" s="150" t="s">
        <v>69</v>
      </c>
      <c r="B12" s="151"/>
      <c r="C12" s="151"/>
      <c r="D12" s="151"/>
      <c r="E12" s="151"/>
      <c r="F12" s="151"/>
      <c r="G12" s="152"/>
    </row>
    <row r="13" spans="1:7" ht="13.8" thickBot="1" x14ac:dyDescent="0.3">
      <c r="A13" s="153"/>
      <c r="B13" s="154"/>
      <c r="C13" s="154"/>
      <c r="D13" s="154"/>
      <c r="E13" s="154"/>
      <c r="F13" s="154"/>
      <c r="G13" s="155"/>
    </row>
    <row r="14" spans="1:7" ht="52.2" x14ac:dyDescent="0.3">
      <c r="A14" s="8" t="s">
        <v>18</v>
      </c>
      <c r="B14" s="6" t="s">
        <v>36</v>
      </c>
      <c r="C14" s="6" t="s">
        <v>35</v>
      </c>
      <c r="D14" s="6" t="s">
        <v>31</v>
      </c>
      <c r="E14" s="6" t="s">
        <v>32</v>
      </c>
      <c r="F14" s="6" t="s">
        <v>33</v>
      </c>
      <c r="G14" s="9" t="s">
        <v>37</v>
      </c>
    </row>
    <row r="15" spans="1:7" ht="15" customHeight="1" x14ac:dyDescent="0.25">
      <c r="A15" s="18" t="s">
        <v>17</v>
      </c>
      <c r="B15" s="19" t="s">
        <v>78</v>
      </c>
      <c r="C15" s="18">
        <v>58</v>
      </c>
      <c r="D15" s="18" t="e">
        <f>COUNTIF('Test Cases'!#REF!,"Pass")</f>
        <v>#REF!</v>
      </c>
      <c r="E15" s="18" t="e">
        <f>COUNTIF('Test Cases'!#REF!,"FAIL")</f>
        <v>#REF!</v>
      </c>
      <c r="F15" s="18" t="e">
        <f>COUNTIF('Test Cases'!#REF!,"NOT TESTED")</f>
        <v>#REF!</v>
      </c>
      <c r="G15" s="20" t="e">
        <f>COUNTIF('Test Cases'!#REF!,"Blocked")</f>
        <v>#REF!</v>
      </c>
    </row>
    <row r="16" spans="1:7" ht="18.75" customHeight="1" x14ac:dyDescent="0.25">
      <c r="A16" s="5" t="s">
        <v>17</v>
      </c>
      <c r="B16" s="7" t="s">
        <v>79</v>
      </c>
      <c r="C16" s="18">
        <v>58</v>
      </c>
      <c r="D16" s="5" t="e">
        <f>COUNTIF('Test Cases'!#REF!,"PASS")</f>
        <v>#REF!</v>
      </c>
      <c r="E16" s="5" t="e">
        <f>COUNTIF('Test Cases'!#REF!,"FAIL")</f>
        <v>#REF!</v>
      </c>
      <c r="F16" s="5" t="e">
        <f>COUNTIF('Test Cases'!#REF!,"NOT TESTED")</f>
        <v>#REF!</v>
      </c>
      <c r="G16" s="3" t="e">
        <f>COUNTIF('Test Cases'!#REF!,"Blocked")</f>
        <v>#REF!</v>
      </c>
    </row>
    <row r="17" spans="1:7" x14ac:dyDescent="0.25">
      <c r="A17" s="5" t="s">
        <v>17</v>
      </c>
      <c r="B17" s="7" t="s">
        <v>80</v>
      </c>
      <c r="C17" s="18">
        <v>58</v>
      </c>
      <c r="D17" s="5" t="e">
        <f>COUNTIF('Test Cases'!#REF!,"PASS")</f>
        <v>#REF!</v>
      </c>
      <c r="E17" s="5" t="e">
        <f>COUNTIF('Test Cases'!#REF!,"FAIL")</f>
        <v>#REF!</v>
      </c>
      <c r="F17" s="5" t="e">
        <f>COUNTIF('Test Cases'!#REF!,"NOT TESTED")</f>
        <v>#REF!</v>
      </c>
      <c r="G17" s="3" t="e">
        <f>COUNTIF('Test Cases'!#REF!,"Blocked")</f>
        <v>#REF!</v>
      </c>
    </row>
  </sheetData>
  <customSheetViews>
    <customSheetView guid="{31213FDE-1FC4-4753-AB26-CBCE91AA62C1}" state="hidden">
      <selection activeCell="B16" sqref="B16"/>
      <pageMargins left="0.7" right="0.7" top="0.75" bottom="0.75" header="0.3" footer="0.3"/>
      <pageSetup paperSize="9" orientation="portrait"/>
    </customSheetView>
    <customSheetView guid="{EFFDA75A-10D8-45FA-B94E-D29847D61BE9}" state="hidden">
      <selection activeCell="B16" sqref="B16"/>
      <pageMargins left="0.7" right="0.7" top="0.75" bottom="0.75" header="0.3" footer="0.3"/>
      <pageSetup paperSize="9" orientation="portrait"/>
    </customSheetView>
  </customSheetViews>
  <mergeCells count="3">
    <mergeCell ref="A4:G5"/>
    <mergeCell ref="A2:G2"/>
    <mergeCell ref="A12:G13"/>
  </mergeCell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98"/>
  <sheetViews>
    <sheetView topLeftCell="A4" zoomScale="70" zoomScaleNormal="70" workbookViewId="0">
      <selection activeCell="G9" sqref="G9:N198"/>
    </sheetView>
  </sheetViews>
  <sheetFormatPr defaultColWidth="11.44140625" defaultRowHeight="13.2" x14ac:dyDescent="0.25"/>
  <cols>
    <col min="2" max="2" width="19.44140625" customWidth="1"/>
    <col min="3" max="3" width="24.6640625" customWidth="1"/>
    <col min="4" max="4" width="25.6640625" customWidth="1"/>
    <col min="5" max="5" width="43" customWidth="1"/>
    <col min="6" max="6" width="29.6640625" customWidth="1"/>
    <col min="7" max="12" width="20.6640625" customWidth="1"/>
    <col min="14" max="14" width="14.44140625" customWidth="1"/>
  </cols>
  <sheetData>
    <row r="1" spans="1:14" s="1" customFormat="1" ht="90.75" customHeight="1" x14ac:dyDescent="0.25">
      <c r="A1" s="21" t="s">
        <v>62</v>
      </c>
      <c r="B1" s="22" t="s">
        <v>5</v>
      </c>
      <c r="C1" s="22" t="s">
        <v>56</v>
      </c>
      <c r="D1" s="22" t="s">
        <v>13</v>
      </c>
      <c r="E1" s="22" t="s">
        <v>6</v>
      </c>
      <c r="F1" s="23" t="s">
        <v>7</v>
      </c>
      <c r="G1" s="25" t="s">
        <v>84</v>
      </c>
      <c r="H1" s="25" t="s">
        <v>81</v>
      </c>
      <c r="I1" s="25" t="s">
        <v>82</v>
      </c>
      <c r="J1" s="25" t="s">
        <v>86</v>
      </c>
      <c r="K1" s="25" t="s">
        <v>83</v>
      </c>
      <c r="L1" s="25" t="s">
        <v>85</v>
      </c>
      <c r="M1" s="64" t="s">
        <v>8</v>
      </c>
      <c r="N1" s="65" t="s">
        <v>9</v>
      </c>
    </row>
    <row r="2" spans="1:14" ht="94.5" customHeight="1" x14ac:dyDescent="0.25">
      <c r="A2" s="26" t="s">
        <v>63</v>
      </c>
      <c r="B2" s="27" t="s">
        <v>10</v>
      </c>
      <c r="C2" s="28" t="s">
        <v>24</v>
      </c>
      <c r="D2" s="27" t="s">
        <v>14</v>
      </c>
      <c r="E2" s="27" t="s">
        <v>11</v>
      </c>
      <c r="F2" s="29" t="s">
        <v>12</v>
      </c>
      <c r="G2" s="10" t="s">
        <v>31</v>
      </c>
      <c r="H2" s="10" t="s">
        <v>31</v>
      </c>
      <c r="I2" s="10" t="s">
        <v>31</v>
      </c>
      <c r="J2" s="10" t="s">
        <v>31</v>
      </c>
      <c r="K2" s="10" t="s">
        <v>31</v>
      </c>
      <c r="L2" s="58" t="s">
        <v>31</v>
      </c>
      <c r="M2" s="42"/>
      <c r="N2" s="41"/>
    </row>
    <row r="3" spans="1:14" ht="129.75" customHeight="1" x14ac:dyDescent="0.25">
      <c r="A3" s="26" t="s">
        <v>64</v>
      </c>
      <c r="B3" s="27" t="s">
        <v>38</v>
      </c>
      <c r="C3" s="28" t="s">
        <v>25</v>
      </c>
      <c r="D3" s="27" t="s">
        <v>15</v>
      </c>
      <c r="E3" s="27" t="s">
        <v>53</v>
      </c>
      <c r="F3" s="27" t="s">
        <v>70</v>
      </c>
      <c r="G3" s="10" t="s">
        <v>31</v>
      </c>
      <c r="H3" s="10" t="s">
        <v>31</v>
      </c>
      <c r="I3" s="10" t="s">
        <v>31</v>
      </c>
      <c r="J3" s="10" t="s">
        <v>31</v>
      </c>
      <c r="K3" s="10" t="s">
        <v>31</v>
      </c>
      <c r="L3" s="58" t="s">
        <v>31</v>
      </c>
      <c r="M3" s="42"/>
      <c r="N3" s="41"/>
    </row>
    <row r="4" spans="1:14" ht="387" customHeight="1" x14ac:dyDescent="0.25">
      <c r="A4" s="26" t="s">
        <v>63</v>
      </c>
      <c r="B4" s="30" t="s">
        <v>58</v>
      </c>
      <c r="C4" s="28" t="s">
        <v>26</v>
      </c>
      <c r="D4" s="31" t="s">
        <v>15</v>
      </c>
      <c r="E4" s="27" t="s">
        <v>59</v>
      </c>
      <c r="F4" s="32" t="s">
        <v>60</v>
      </c>
      <c r="G4" s="10" t="s">
        <v>31</v>
      </c>
      <c r="H4" s="10" t="s">
        <v>31</v>
      </c>
      <c r="I4" s="10" t="s">
        <v>31</v>
      </c>
      <c r="J4" s="10" t="s">
        <v>31</v>
      </c>
      <c r="K4" s="10" t="s">
        <v>31</v>
      </c>
      <c r="L4" s="58" t="s">
        <v>31</v>
      </c>
      <c r="M4" s="43"/>
      <c r="N4" s="66"/>
    </row>
    <row r="5" spans="1:14" ht="51" x14ac:dyDescent="0.25">
      <c r="A5" s="26" t="s">
        <v>65</v>
      </c>
      <c r="B5" s="33" t="s">
        <v>42</v>
      </c>
      <c r="C5" s="28" t="s">
        <v>27</v>
      </c>
      <c r="D5" s="27" t="s">
        <v>15</v>
      </c>
      <c r="E5" s="34" t="s">
        <v>52</v>
      </c>
      <c r="F5" s="33" t="s">
        <v>45</v>
      </c>
      <c r="G5" s="10" t="s">
        <v>31</v>
      </c>
      <c r="H5" s="10" t="s">
        <v>31</v>
      </c>
      <c r="I5" s="10" t="s">
        <v>31</v>
      </c>
      <c r="J5" s="10" t="s">
        <v>31</v>
      </c>
      <c r="K5" s="10" t="s">
        <v>31</v>
      </c>
      <c r="L5" s="58" t="s">
        <v>31</v>
      </c>
      <c r="M5" s="42"/>
      <c r="N5" s="41"/>
    </row>
    <row r="6" spans="1:14" ht="202.2" x14ac:dyDescent="0.25">
      <c r="A6" s="26" t="s">
        <v>67</v>
      </c>
      <c r="B6" s="33" t="s">
        <v>43</v>
      </c>
      <c r="C6" s="28" t="s">
        <v>28</v>
      </c>
      <c r="D6" s="27" t="s">
        <v>15</v>
      </c>
      <c r="E6" s="33" t="s">
        <v>44</v>
      </c>
      <c r="F6" s="33" t="s">
        <v>61</v>
      </c>
      <c r="G6" s="10" t="s">
        <v>31</v>
      </c>
      <c r="H6" s="10" t="s">
        <v>31</v>
      </c>
      <c r="I6" s="10" t="s">
        <v>31</v>
      </c>
      <c r="J6" s="10" t="s">
        <v>31</v>
      </c>
      <c r="K6" s="10" t="s">
        <v>31</v>
      </c>
      <c r="L6" s="58" t="s">
        <v>31</v>
      </c>
      <c r="M6" s="42"/>
      <c r="N6" s="41"/>
    </row>
    <row r="7" spans="1:14" ht="139.19999999999999" x14ac:dyDescent="0.25">
      <c r="A7" s="26" t="s">
        <v>68</v>
      </c>
      <c r="B7" s="35" t="s">
        <v>41</v>
      </c>
      <c r="C7" s="28" t="s">
        <v>29</v>
      </c>
      <c r="D7" s="27" t="s">
        <v>15</v>
      </c>
      <c r="E7" s="27" t="s">
        <v>46</v>
      </c>
      <c r="F7" s="33" t="s">
        <v>55</v>
      </c>
      <c r="G7" s="10" t="s">
        <v>31</v>
      </c>
      <c r="H7" s="10" t="s">
        <v>31</v>
      </c>
      <c r="I7" s="10" t="s">
        <v>31</v>
      </c>
      <c r="J7" s="10" t="s">
        <v>31</v>
      </c>
      <c r="K7" s="10" t="s">
        <v>31</v>
      </c>
      <c r="L7" s="58" t="s">
        <v>31</v>
      </c>
      <c r="M7" s="43"/>
      <c r="N7" s="43"/>
    </row>
    <row r="8" spans="1:14" ht="119.4" thickBot="1" x14ac:dyDescent="0.3">
      <c r="A8" s="36" t="s">
        <v>66</v>
      </c>
      <c r="B8" s="37" t="s">
        <v>40</v>
      </c>
      <c r="C8" s="38" t="s">
        <v>30</v>
      </c>
      <c r="D8" s="39" t="s">
        <v>15</v>
      </c>
      <c r="E8" s="39" t="s">
        <v>54</v>
      </c>
      <c r="F8" s="40" t="s">
        <v>39</v>
      </c>
      <c r="G8" s="10" t="s">
        <v>31</v>
      </c>
      <c r="H8" s="10" t="s">
        <v>31</v>
      </c>
      <c r="I8" s="10" t="s">
        <v>31</v>
      </c>
      <c r="J8" s="10" t="s">
        <v>31</v>
      </c>
      <c r="K8" s="10" t="s">
        <v>31</v>
      </c>
      <c r="L8" s="58" t="s">
        <v>31</v>
      </c>
      <c r="M8" s="43"/>
      <c r="N8" s="66" t="s">
        <v>77</v>
      </c>
    </row>
    <row r="9" spans="1:14" x14ac:dyDescent="0.25">
      <c r="G9" s="10"/>
      <c r="H9" s="10"/>
      <c r="I9" s="10"/>
      <c r="J9" s="10"/>
      <c r="K9" s="10"/>
      <c r="L9" s="58"/>
      <c r="M9" s="43"/>
      <c r="N9" s="41"/>
    </row>
    <row r="10" spans="1:14" x14ac:dyDescent="0.25">
      <c r="G10" s="10"/>
      <c r="H10" s="10"/>
      <c r="I10" s="10"/>
      <c r="J10" s="10"/>
      <c r="K10" s="10"/>
      <c r="L10" s="58"/>
      <c r="M10" s="43"/>
      <c r="N10" s="41"/>
    </row>
    <row r="11" spans="1:14" x14ac:dyDescent="0.25">
      <c r="G11" s="10"/>
      <c r="H11" s="10"/>
      <c r="I11" s="10"/>
      <c r="J11" s="10"/>
      <c r="K11" s="10"/>
      <c r="L11" s="58"/>
      <c r="M11" s="43"/>
      <c r="N11" s="41"/>
    </row>
    <row r="12" spans="1:14" x14ac:dyDescent="0.25">
      <c r="G12" s="10"/>
      <c r="H12" s="10"/>
      <c r="I12" s="10"/>
      <c r="J12" s="10"/>
      <c r="K12" s="10"/>
      <c r="L12" s="58"/>
      <c r="M12" s="43"/>
      <c r="N12" s="41"/>
    </row>
    <row r="13" spans="1:14" x14ac:dyDescent="0.25">
      <c r="G13" s="10"/>
      <c r="H13" s="10"/>
      <c r="I13" s="10"/>
      <c r="J13" s="10"/>
      <c r="K13" s="10"/>
      <c r="L13" s="58"/>
      <c r="M13" s="47"/>
      <c r="N13" s="44"/>
    </row>
    <row r="14" spans="1:14" x14ac:dyDescent="0.25">
      <c r="B14" s="71"/>
      <c r="G14" s="10"/>
      <c r="H14" s="10"/>
      <c r="I14" s="10"/>
      <c r="J14" s="10"/>
      <c r="K14" s="10"/>
      <c r="L14" s="58"/>
      <c r="M14" s="42"/>
      <c r="N14" s="41"/>
    </row>
    <row r="15" spans="1:14" x14ac:dyDescent="0.25">
      <c r="G15" s="10"/>
      <c r="H15" s="10"/>
      <c r="I15" s="10"/>
      <c r="J15" s="10"/>
      <c r="K15" s="10"/>
      <c r="L15" s="58"/>
      <c r="M15" s="42"/>
      <c r="N15" s="41"/>
    </row>
    <row r="16" spans="1:14" x14ac:dyDescent="0.25">
      <c r="D16" s="71"/>
      <c r="G16" s="10"/>
      <c r="H16" s="10"/>
      <c r="I16" s="10"/>
      <c r="J16" s="10"/>
      <c r="K16" s="10"/>
      <c r="L16" s="58"/>
      <c r="M16" s="42"/>
      <c r="N16" s="41"/>
    </row>
    <row r="17" spans="7:14" x14ac:dyDescent="0.25">
      <c r="G17" s="10"/>
      <c r="H17" s="10"/>
      <c r="I17" s="10"/>
      <c r="J17" s="10"/>
      <c r="K17" s="10"/>
      <c r="L17" s="58"/>
      <c r="M17" s="43"/>
      <c r="N17" s="43"/>
    </row>
    <row r="18" spans="7:14" x14ac:dyDescent="0.25">
      <c r="G18" s="10"/>
      <c r="H18" s="10"/>
      <c r="I18" s="10"/>
      <c r="J18" s="10"/>
      <c r="K18" s="10"/>
      <c r="L18" s="58"/>
      <c r="M18" s="42"/>
      <c r="N18" s="45"/>
    </row>
    <row r="19" spans="7:14" x14ac:dyDescent="0.25">
      <c r="G19" s="10"/>
      <c r="H19" s="10"/>
      <c r="I19" s="10"/>
      <c r="J19" s="10"/>
      <c r="K19" s="10"/>
      <c r="L19" s="58"/>
      <c r="M19" s="42"/>
      <c r="N19" s="41"/>
    </row>
    <row r="20" spans="7:14" x14ac:dyDescent="0.25">
      <c r="G20" s="10"/>
      <c r="H20" s="10"/>
      <c r="I20" s="10"/>
      <c r="J20" s="10"/>
      <c r="K20" s="10"/>
      <c r="L20" s="58"/>
      <c r="M20" s="42"/>
      <c r="N20" s="41"/>
    </row>
    <row r="21" spans="7:14" x14ac:dyDescent="0.25">
      <c r="G21" s="10"/>
      <c r="H21" s="10"/>
      <c r="I21" s="10"/>
      <c r="J21" s="10"/>
      <c r="K21" s="10"/>
      <c r="L21" s="58"/>
      <c r="M21" s="42"/>
      <c r="N21" s="41"/>
    </row>
    <row r="22" spans="7:14" x14ac:dyDescent="0.25">
      <c r="G22" s="10"/>
      <c r="H22" s="10"/>
      <c r="I22" s="10"/>
      <c r="J22" s="10"/>
      <c r="K22" s="10"/>
      <c r="L22" s="58"/>
      <c r="M22" s="42"/>
      <c r="N22" s="67"/>
    </row>
    <row r="23" spans="7:14" x14ac:dyDescent="0.25">
      <c r="G23" s="10"/>
      <c r="H23" s="10"/>
      <c r="I23" s="10"/>
      <c r="J23" s="10"/>
      <c r="K23" s="10"/>
      <c r="L23" s="58"/>
      <c r="M23" s="42"/>
      <c r="N23" s="41"/>
    </row>
    <row r="24" spans="7:14" x14ac:dyDescent="0.25">
      <c r="G24" s="10"/>
      <c r="H24" s="10"/>
      <c r="I24" s="10"/>
      <c r="J24" s="10"/>
      <c r="K24" s="10"/>
      <c r="L24" s="58"/>
      <c r="M24" s="42"/>
      <c r="N24" s="41"/>
    </row>
    <row r="25" spans="7:14" x14ac:dyDescent="0.25">
      <c r="G25" s="10"/>
      <c r="H25" s="10"/>
      <c r="I25" s="10"/>
      <c r="J25" s="10"/>
      <c r="K25" s="10"/>
      <c r="L25" s="58"/>
      <c r="M25" s="42"/>
      <c r="N25" s="41"/>
    </row>
    <row r="26" spans="7:14" x14ac:dyDescent="0.25">
      <c r="G26" s="10"/>
      <c r="H26" s="10"/>
      <c r="I26" s="10"/>
      <c r="J26" s="10"/>
      <c r="K26" s="10"/>
      <c r="L26" s="58"/>
      <c r="M26" s="42"/>
      <c r="N26" s="41"/>
    </row>
    <row r="27" spans="7:14" x14ac:dyDescent="0.25">
      <c r="G27" s="10"/>
      <c r="H27" s="10"/>
      <c r="I27" s="10"/>
      <c r="J27" s="10"/>
      <c r="K27" s="10"/>
      <c r="L27" s="58"/>
      <c r="M27" s="42"/>
      <c r="N27" s="41"/>
    </row>
    <row r="28" spans="7:14" x14ac:dyDescent="0.25">
      <c r="G28" s="10"/>
      <c r="H28" s="10"/>
      <c r="I28" s="10"/>
      <c r="J28" s="10"/>
      <c r="K28" s="10"/>
      <c r="L28" s="58"/>
      <c r="M28" s="42"/>
      <c r="N28" s="41"/>
    </row>
    <row r="29" spans="7:14" x14ac:dyDescent="0.25">
      <c r="G29" s="10"/>
      <c r="H29" s="10"/>
      <c r="I29" s="10"/>
      <c r="J29" s="10"/>
      <c r="K29" s="10"/>
      <c r="L29" s="58"/>
      <c r="M29" s="45"/>
      <c r="N29" s="68"/>
    </row>
    <row r="30" spans="7:14" x14ac:dyDescent="0.25">
      <c r="G30" s="10"/>
      <c r="H30" s="10"/>
      <c r="I30" s="10"/>
      <c r="J30" s="10"/>
      <c r="K30" s="10"/>
      <c r="L30" s="58"/>
      <c r="M30" s="42"/>
      <c r="N30" s="41"/>
    </row>
    <row r="31" spans="7:14" x14ac:dyDescent="0.25">
      <c r="G31" s="10"/>
      <c r="H31" s="10"/>
      <c r="I31" s="10"/>
      <c r="J31" s="10"/>
      <c r="K31" s="10"/>
      <c r="L31" s="58"/>
      <c r="M31" s="44"/>
      <c r="N31" s="45"/>
    </row>
    <row r="32" spans="7:14" x14ac:dyDescent="0.25">
      <c r="G32" s="10"/>
      <c r="H32" s="10"/>
      <c r="I32" s="10"/>
      <c r="J32" s="10"/>
      <c r="K32" s="10"/>
      <c r="L32" s="58"/>
      <c r="M32" s="42"/>
      <c r="N32" s="68"/>
    </row>
    <row r="33" spans="7:14" x14ac:dyDescent="0.25">
      <c r="G33" s="10"/>
      <c r="H33" s="10"/>
      <c r="I33" s="10"/>
      <c r="J33" s="10"/>
      <c r="K33" s="10"/>
      <c r="L33" s="58"/>
      <c r="M33" s="44"/>
      <c r="N33" s="45"/>
    </row>
    <row r="34" spans="7:14" x14ac:dyDescent="0.25">
      <c r="G34" s="10"/>
      <c r="H34" s="10"/>
      <c r="I34" s="10"/>
      <c r="J34" s="10"/>
      <c r="K34" s="10"/>
      <c r="L34" s="58"/>
      <c r="M34" s="42"/>
      <c r="N34" s="41"/>
    </row>
    <row r="35" spans="7:14" x14ac:dyDescent="0.25">
      <c r="G35" s="10"/>
      <c r="H35" s="10"/>
      <c r="I35" s="10"/>
      <c r="J35" s="10"/>
      <c r="K35" s="10"/>
      <c r="L35" s="58"/>
      <c r="M35" s="42"/>
      <c r="N35" s="41"/>
    </row>
    <row r="36" spans="7:14" x14ac:dyDescent="0.25">
      <c r="G36" s="10"/>
      <c r="H36" s="10"/>
      <c r="I36" s="10"/>
      <c r="J36" s="10"/>
      <c r="K36" s="10"/>
      <c r="L36" s="58"/>
      <c r="M36" s="42"/>
      <c r="N36" s="41"/>
    </row>
    <row r="37" spans="7:14" x14ac:dyDescent="0.25">
      <c r="G37" s="10"/>
      <c r="H37" s="10"/>
      <c r="I37" s="10"/>
      <c r="J37" s="10"/>
      <c r="K37" s="10"/>
      <c r="L37" s="58"/>
      <c r="M37" s="42"/>
      <c r="N37" s="41"/>
    </row>
    <row r="38" spans="7:14" x14ac:dyDescent="0.25">
      <c r="G38" s="10"/>
      <c r="H38" s="10"/>
      <c r="I38" s="10"/>
      <c r="J38" s="10"/>
      <c r="K38" s="10"/>
      <c r="L38" s="58"/>
      <c r="M38" s="42"/>
      <c r="N38" s="41"/>
    </row>
    <row r="39" spans="7:14" x14ac:dyDescent="0.25">
      <c r="G39" s="10"/>
      <c r="H39" s="10"/>
      <c r="I39" s="10"/>
      <c r="J39" s="10"/>
      <c r="K39" s="10"/>
      <c r="L39" s="58"/>
      <c r="M39" s="42"/>
      <c r="N39" s="41"/>
    </row>
    <row r="40" spans="7:14" x14ac:dyDescent="0.25">
      <c r="G40" s="10"/>
      <c r="H40" s="10"/>
      <c r="I40" s="10"/>
      <c r="J40" s="10"/>
      <c r="K40" s="10"/>
      <c r="L40" s="58"/>
      <c r="M40" s="42"/>
      <c r="N40" s="41"/>
    </row>
    <row r="41" spans="7:14" x14ac:dyDescent="0.25">
      <c r="G41" s="10"/>
      <c r="H41" s="10"/>
      <c r="I41" s="10"/>
      <c r="J41" s="10"/>
      <c r="K41" s="10"/>
      <c r="L41" s="58"/>
      <c r="M41" s="42"/>
      <c r="N41" s="41"/>
    </row>
    <row r="42" spans="7:14" x14ac:dyDescent="0.25">
      <c r="G42" s="46"/>
      <c r="H42" s="46"/>
      <c r="I42" s="46"/>
      <c r="J42" s="46"/>
      <c r="K42" s="46"/>
      <c r="L42" s="59"/>
      <c r="M42" s="69"/>
      <c r="N42" s="27"/>
    </row>
    <row r="43" spans="7:14" x14ac:dyDescent="0.25">
      <c r="G43" s="10"/>
      <c r="H43" s="10"/>
      <c r="I43" s="10"/>
      <c r="J43" s="10"/>
      <c r="K43" s="10"/>
      <c r="L43" s="58"/>
      <c r="M43" s="44"/>
      <c r="N43" s="45"/>
    </row>
    <row r="44" spans="7:14" x14ac:dyDescent="0.25">
      <c r="G44" s="10"/>
      <c r="H44" s="10"/>
      <c r="I44" s="10"/>
      <c r="J44" s="10"/>
      <c r="K44" s="10"/>
      <c r="L44" s="58"/>
      <c r="M44" s="42"/>
      <c r="N44" s="41"/>
    </row>
    <row r="45" spans="7:14" x14ac:dyDescent="0.25">
      <c r="G45" s="10"/>
      <c r="H45" s="10"/>
      <c r="I45" s="10"/>
      <c r="J45" s="10"/>
      <c r="K45" s="10"/>
      <c r="L45" s="58"/>
      <c r="M45" s="42"/>
      <c r="N45" s="41"/>
    </row>
    <row r="46" spans="7:14" x14ac:dyDescent="0.25">
      <c r="G46" s="10"/>
      <c r="H46" s="10"/>
      <c r="I46" s="10"/>
      <c r="J46" s="10"/>
      <c r="K46" s="10"/>
      <c r="L46" s="58"/>
      <c r="M46" s="42"/>
      <c r="N46" s="41"/>
    </row>
    <row r="47" spans="7:14" x14ac:dyDescent="0.25">
      <c r="G47" s="10"/>
      <c r="H47" s="10"/>
      <c r="I47" s="10"/>
      <c r="J47" s="10"/>
      <c r="K47" s="10"/>
      <c r="L47" s="58"/>
      <c r="M47" s="42"/>
      <c r="N47" s="41"/>
    </row>
    <row r="48" spans="7:14" x14ac:dyDescent="0.25">
      <c r="G48" s="10"/>
      <c r="H48" s="10"/>
      <c r="I48" s="10"/>
      <c r="J48" s="10"/>
      <c r="K48" s="10"/>
      <c r="L48" s="58"/>
      <c r="M48" s="42"/>
      <c r="N48" s="41"/>
    </row>
    <row r="49" spans="7:14" x14ac:dyDescent="0.25">
      <c r="G49" s="10"/>
      <c r="H49" s="10"/>
      <c r="I49" s="10"/>
      <c r="J49" s="10"/>
      <c r="K49" s="10"/>
      <c r="L49" s="58"/>
      <c r="M49" s="44"/>
      <c r="N49" s="70"/>
    </row>
    <row r="50" spans="7:14" x14ac:dyDescent="0.25">
      <c r="G50" s="10"/>
      <c r="H50" s="10"/>
      <c r="I50" s="10"/>
      <c r="J50" s="10"/>
      <c r="K50" s="10"/>
      <c r="L50" s="58"/>
      <c r="M50" s="42"/>
      <c r="N50" s="45"/>
    </row>
    <row r="51" spans="7:14" x14ac:dyDescent="0.25">
      <c r="G51" s="10"/>
      <c r="H51" s="10"/>
      <c r="I51" s="10"/>
      <c r="J51" s="10"/>
      <c r="K51" s="10"/>
      <c r="L51" s="58"/>
      <c r="M51" s="42"/>
      <c r="N51" s="41"/>
    </row>
    <row r="52" spans="7:14" x14ac:dyDescent="0.25">
      <c r="G52" s="10"/>
      <c r="H52" s="10"/>
      <c r="I52" s="10"/>
      <c r="J52" s="10"/>
      <c r="K52" s="10"/>
      <c r="L52" s="58"/>
      <c r="M52" s="42"/>
      <c r="N52" s="68"/>
    </row>
    <row r="53" spans="7:14" x14ac:dyDescent="0.25">
      <c r="G53" s="10"/>
      <c r="H53" s="10"/>
      <c r="I53" s="10"/>
      <c r="J53" s="10"/>
      <c r="K53" s="10"/>
      <c r="L53" s="58"/>
      <c r="M53" s="42"/>
      <c r="N53" s="41"/>
    </row>
    <row r="54" spans="7:14" x14ac:dyDescent="0.25">
      <c r="G54" s="10"/>
      <c r="H54" s="10"/>
      <c r="I54" s="10"/>
      <c r="J54" s="10"/>
      <c r="K54" s="10"/>
      <c r="L54" s="58"/>
      <c r="M54" s="42"/>
      <c r="N54" s="41"/>
    </row>
    <row r="55" spans="7:14" x14ac:dyDescent="0.25">
      <c r="G55" s="10"/>
      <c r="H55" s="10"/>
      <c r="I55" s="10"/>
      <c r="J55" s="10"/>
      <c r="K55" s="10"/>
      <c r="L55" s="58"/>
      <c r="M55" s="42"/>
      <c r="N55" s="41"/>
    </row>
    <row r="56" spans="7:14" x14ac:dyDescent="0.25">
      <c r="G56" s="10"/>
      <c r="H56" s="10"/>
      <c r="I56" s="10"/>
      <c r="J56" s="10"/>
      <c r="K56" s="10"/>
      <c r="L56" s="58"/>
      <c r="M56" s="42"/>
      <c r="N56" s="41"/>
    </row>
    <row r="57" spans="7:14" x14ac:dyDescent="0.25">
      <c r="G57" s="10"/>
      <c r="H57" s="10"/>
      <c r="I57" s="10"/>
      <c r="J57" s="10"/>
      <c r="K57" s="10"/>
      <c r="L57" s="58"/>
      <c r="M57" s="43"/>
      <c r="N57" s="41"/>
    </row>
    <row r="58" spans="7:14" ht="13.8" thickBot="1" x14ac:dyDescent="0.3">
      <c r="G58" s="24"/>
      <c r="H58" s="24"/>
      <c r="I58" s="24"/>
      <c r="J58" s="24"/>
      <c r="K58" s="24"/>
      <c r="L58" s="60"/>
      <c r="M58" s="43"/>
      <c r="N58" s="66"/>
    </row>
    <row r="59" spans="7:14" x14ac:dyDescent="0.25">
      <c r="G59" s="46"/>
      <c r="H59" s="46"/>
      <c r="I59" s="46"/>
      <c r="J59" s="46"/>
      <c r="K59" s="46"/>
      <c r="L59" s="59"/>
      <c r="M59" s="47"/>
      <c r="N59" s="41"/>
    </row>
    <row r="60" spans="7:14" x14ac:dyDescent="0.25">
      <c r="G60" s="48"/>
      <c r="H60" s="48"/>
      <c r="I60" s="48"/>
      <c r="J60" s="48"/>
      <c r="K60" s="48"/>
      <c r="L60" s="61"/>
      <c r="M60" s="47"/>
      <c r="N60" s="41"/>
    </row>
    <row r="61" spans="7:14" x14ac:dyDescent="0.25">
      <c r="G61" s="49"/>
      <c r="H61" s="49"/>
      <c r="I61" s="49"/>
      <c r="J61" s="49"/>
      <c r="K61" s="49"/>
      <c r="L61" s="49"/>
      <c r="M61" s="52"/>
      <c r="N61" s="52"/>
    </row>
    <row r="62" spans="7:14" x14ac:dyDescent="0.25">
      <c r="G62" s="10"/>
      <c r="H62" s="10"/>
      <c r="I62" s="10"/>
      <c r="J62" s="10"/>
      <c r="K62" s="10"/>
      <c r="L62" s="58"/>
      <c r="M62" s="17"/>
      <c r="N62" s="17"/>
    </row>
    <row r="63" spans="7:14" x14ac:dyDescent="0.25">
      <c r="G63" s="10"/>
      <c r="H63" s="10"/>
      <c r="I63" s="10"/>
      <c r="J63" s="10"/>
      <c r="K63" s="10"/>
      <c r="L63" s="58"/>
      <c r="M63" s="17"/>
      <c r="N63" s="17"/>
    </row>
    <row r="64" spans="7:14" x14ac:dyDescent="0.25">
      <c r="G64" s="10"/>
      <c r="H64" s="10"/>
      <c r="I64" s="10"/>
      <c r="J64" s="10"/>
      <c r="K64" s="10"/>
      <c r="L64" s="58"/>
      <c r="M64" s="17"/>
      <c r="N64" s="17"/>
    </row>
    <row r="65" spans="7:14" x14ac:dyDescent="0.25">
      <c r="G65" s="10"/>
      <c r="H65" s="10"/>
      <c r="I65" s="10"/>
      <c r="J65" s="10"/>
      <c r="K65" s="10"/>
      <c r="L65" s="58"/>
      <c r="M65" s="17"/>
      <c r="N65" s="17"/>
    </row>
    <row r="66" spans="7:14" x14ac:dyDescent="0.25">
      <c r="G66" s="10"/>
      <c r="H66" s="10"/>
      <c r="I66" s="10"/>
      <c r="J66" s="10"/>
      <c r="K66" s="10"/>
      <c r="L66" s="58"/>
      <c r="M66" s="17"/>
      <c r="N66" s="17"/>
    </row>
    <row r="67" spans="7:14" x14ac:dyDescent="0.25">
      <c r="G67" s="10"/>
      <c r="H67" s="10"/>
      <c r="I67" s="10"/>
      <c r="J67" s="10"/>
      <c r="K67" s="10"/>
      <c r="L67" s="58"/>
      <c r="M67" s="17"/>
      <c r="N67" s="17"/>
    </row>
    <row r="68" spans="7:14" x14ac:dyDescent="0.25">
      <c r="G68" s="10"/>
      <c r="H68" s="10"/>
      <c r="I68" s="10"/>
      <c r="J68" s="10"/>
      <c r="K68" s="10"/>
      <c r="L68" s="58"/>
      <c r="M68" s="17"/>
      <c r="N68" s="17"/>
    </row>
    <row r="69" spans="7:14" x14ac:dyDescent="0.25">
      <c r="G69" s="10"/>
      <c r="H69" s="10"/>
      <c r="I69" s="10"/>
      <c r="J69" s="10"/>
      <c r="K69" s="10"/>
      <c r="L69" s="58"/>
      <c r="M69" s="17"/>
      <c r="N69" s="17"/>
    </row>
    <row r="70" spans="7:14" x14ac:dyDescent="0.25">
      <c r="G70" s="10"/>
      <c r="H70" s="10"/>
      <c r="I70" s="10"/>
      <c r="J70" s="10"/>
      <c r="K70" s="10"/>
      <c r="L70" s="58"/>
      <c r="M70" s="17"/>
      <c r="N70" s="17"/>
    </row>
    <row r="71" spans="7:14" x14ac:dyDescent="0.25">
      <c r="G71" s="10"/>
      <c r="H71" s="10"/>
      <c r="I71" s="10"/>
      <c r="J71" s="10"/>
      <c r="K71" s="10"/>
      <c r="L71" s="58"/>
      <c r="M71" s="17"/>
      <c r="N71" s="17"/>
    </row>
    <row r="72" spans="7:14" x14ac:dyDescent="0.25">
      <c r="G72" s="10"/>
      <c r="H72" s="10"/>
      <c r="I72" s="10"/>
      <c r="J72" s="10"/>
      <c r="K72" s="10"/>
      <c r="L72" s="58"/>
      <c r="M72" s="17"/>
      <c r="N72" s="17"/>
    </row>
    <row r="73" spans="7:14" x14ac:dyDescent="0.25">
      <c r="G73" s="10"/>
      <c r="H73" s="10"/>
      <c r="I73" s="10"/>
      <c r="J73" s="10"/>
      <c r="K73" s="10"/>
      <c r="L73" s="58"/>
      <c r="M73" s="17"/>
      <c r="N73" s="17"/>
    </row>
    <row r="74" spans="7:14" x14ac:dyDescent="0.25">
      <c r="G74" s="10"/>
      <c r="H74" s="10"/>
      <c r="I74" s="10"/>
      <c r="J74" s="10"/>
      <c r="K74" s="10"/>
      <c r="L74" s="58"/>
      <c r="M74" s="17"/>
      <c r="N74" s="17"/>
    </row>
    <row r="75" spans="7:14" x14ac:dyDescent="0.25">
      <c r="G75" s="10"/>
      <c r="H75" s="10"/>
      <c r="I75" s="10"/>
      <c r="J75" s="10"/>
      <c r="K75" s="10"/>
      <c r="L75" s="58"/>
      <c r="M75" s="17"/>
      <c r="N75" s="17"/>
    </row>
    <row r="76" spans="7:14" x14ac:dyDescent="0.25">
      <c r="G76" s="10"/>
      <c r="H76" s="10"/>
      <c r="I76" s="10"/>
      <c r="J76" s="10"/>
      <c r="K76" s="10"/>
      <c r="L76" s="58"/>
      <c r="M76" s="17"/>
      <c r="N76" s="17"/>
    </row>
    <row r="77" spans="7:14" x14ac:dyDescent="0.25">
      <c r="G77" s="10"/>
      <c r="H77" s="10"/>
      <c r="I77" s="10"/>
      <c r="J77" s="10"/>
      <c r="K77" s="10"/>
      <c r="L77" s="58"/>
      <c r="M77" s="17"/>
      <c r="N77" s="17"/>
    </row>
    <row r="78" spans="7:14" x14ac:dyDescent="0.25">
      <c r="G78" s="10"/>
      <c r="H78" s="10"/>
      <c r="I78" s="10"/>
      <c r="J78" s="10"/>
      <c r="K78" s="10"/>
      <c r="L78" s="58"/>
      <c r="M78" s="17"/>
      <c r="N78" s="17"/>
    </row>
    <row r="79" spans="7:14" x14ac:dyDescent="0.25">
      <c r="G79" s="10"/>
      <c r="H79" s="10"/>
      <c r="I79" s="10"/>
      <c r="J79" s="10"/>
      <c r="K79" s="10"/>
      <c r="L79" s="58"/>
      <c r="M79" s="17"/>
      <c r="N79" s="17"/>
    </row>
    <row r="80" spans="7:14" x14ac:dyDescent="0.25">
      <c r="G80" s="10"/>
      <c r="H80" s="10"/>
      <c r="I80" s="10"/>
      <c r="J80" s="10"/>
      <c r="K80" s="10"/>
      <c r="L80" s="58"/>
      <c r="M80" s="17"/>
      <c r="N80" s="17"/>
    </row>
    <row r="81" spans="7:14" x14ac:dyDescent="0.25">
      <c r="G81" s="10"/>
      <c r="H81" s="10"/>
      <c r="I81" s="10"/>
      <c r="J81" s="10"/>
      <c r="K81" s="10"/>
      <c r="L81" s="58"/>
      <c r="M81" s="17"/>
      <c r="N81" s="17"/>
    </row>
    <row r="82" spans="7:14" x14ac:dyDescent="0.25">
      <c r="G82" s="10"/>
      <c r="H82" s="10"/>
      <c r="I82" s="10"/>
      <c r="J82" s="10"/>
      <c r="K82" s="10"/>
      <c r="L82" s="58"/>
      <c r="M82" s="17"/>
      <c r="N82" s="17"/>
    </row>
    <row r="83" spans="7:14" x14ac:dyDescent="0.25">
      <c r="G83" s="10"/>
      <c r="H83" s="10"/>
      <c r="I83" s="10"/>
      <c r="J83" s="10"/>
      <c r="K83" s="10"/>
      <c r="L83" s="58"/>
      <c r="M83" s="17"/>
      <c r="N83" s="17"/>
    </row>
    <row r="84" spans="7:14" x14ac:dyDescent="0.25">
      <c r="G84" s="10"/>
      <c r="H84" s="10"/>
      <c r="I84" s="10"/>
      <c r="J84" s="10"/>
      <c r="K84" s="10"/>
      <c r="L84" s="58"/>
      <c r="M84" s="17"/>
      <c r="N84" s="17"/>
    </row>
    <row r="85" spans="7:14" x14ac:dyDescent="0.25">
      <c r="G85" s="10"/>
      <c r="H85" s="10"/>
      <c r="I85" s="10"/>
      <c r="J85" s="10"/>
      <c r="K85" s="10"/>
      <c r="L85" s="58"/>
      <c r="M85" s="17"/>
      <c r="N85" s="17"/>
    </row>
    <row r="86" spans="7:14" x14ac:dyDescent="0.25">
      <c r="G86" s="10"/>
      <c r="H86" s="10"/>
      <c r="I86" s="10"/>
      <c r="J86" s="10"/>
      <c r="K86" s="10"/>
      <c r="L86" s="58"/>
      <c r="M86" s="17"/>
      <c r="N86" s="17"/>
    </row>
    <row r="87" spans="7:14" x14ac:dyDescent="0.25">
      <c r="G87" s="10"/>
      <c r="H87" s="10"/>
      <c r="I87" s="10"/>
      <c r="J87" s="10"/>
      <c r="K87" s="10"/>
      <c r="L87" s="58"/>
      <c r="M87" s="17"/>
      <c r="N87" s="17"/>
    </row>
    <row r="88" spans="7:14" x14ac:dyDescent="0.25">
      <c r="G88" s="10"/>
      <c r="H88" s="10"/>
      <c r="I88" s="10"/>
      <c r="J88" s="10"/>
      <c r="K88" s="10"/>
      <c r="L88" s="58"/>
      <c r="M88" s="17"/>
      <c r="N88" s="17"/>
    </row>
    <row r="89" spans="7:14" x14ac:dyDescent="0.25">
      <c r="G89" s="10"/>
      <c r="H89" s="10"/>
      <c r="I89" s="10"/>
      <c r="J89" s="10"/>
      <c r="K89" s="10"/>
      <c r="L89" s="58"/>
      <c r="M89" s="17"/>
      <c r="N89" s="17"/>
    </row>
    <row r="90" spans="7:14" x14ac:dyDescent="0.25">
      <c r="G90" s="10"/>
      <c r="H90" s="10"/>
      <c r="I90" s="10"/>
      <c r="J90" s="10"/>
      <c r="K90" s="10"/>
      <c r="L90" s="58"/>
      <c r="M90" s="17"/>
      <c r="N90" s="17"/>
    </row>
    <row r="91" spans="7:14" x14ac:dyDescent="0.25">
      <c r="G91" s="10"/>
      <c r="H91" s="10"/>
      <c r="I91" s="10"/>
      <c r="J91" s="10"/>
      <c r="K91" s="10"/>
      <c r="L91" s="58"/>
      <c r="M91" s="17"/>
      <c r="N91" s="17"/>
    </row>
    <row r="92" spans="7:14" x14ac:dyDescent="0.25">
      <c r="G92" s="10"/>
      <c r="H92" s="10"/>
      <c r="I92" s="10"/>
      <c r="J92" s="10"/>
      <c r="K92" s="10"/>
      <c r="L92" s="58"/>
      <c r="M92" s="17"/>
      <c r="N92" s="17"/>
    </row>
    <row r="93" spans="7:14" x14ac:dyDescent="0.25">
      <c r="G93" s="10"/>
      <c r="H93" s="10"/>
      <c r="I93" s="10"/>
      <c r="J93" s="10"/>
      <c r="K93" s="10"/>
      <c r="L93" s="58"/>
      <c r="M93" s="17"/>
      <c r="N93" s="17"/>
    </row>
    <row r="94" spans="7:14" x14ac:dyDescent="0.25">
      <c r="G94" s="10"/>
      <c r="H94" s="10"/>
      <c r="I94" s="10"/>
      <c r="J94" s="10"/>
      <c r="K94" s="10"/>
      <c r="L94" s="58"/>
      <c r="M94" s="17"/>
      <c r="N94" s="17"/>
    </row>
    <row r="95" spans="7:14" x14ac:dyDescent="0.25">
      <c r="G95" s="10"/>
      <c r="H95" s="10"/>
      <c r="I95" s="10"/>
      <c r="J95" s="10"/>
      <c r="K95" s="10"/>
      <c r="L95" s="58"/>
      <c r="M95" s="17"/>
      <c r="N95" s="17"/>
    </row>
    <row r="96" spans="7:14" x14ac:dyDescent="0.25">
      <c r="G96" s="10"/>
      <c r="H96" s="10"/>
      <c r="I96" s="10"/>
      <c r="J96" s="10"/>
      <c r="K96" s="10"/>
      <c r="L96" s="58"/>
      <c r="M96" s="17"/>
      <c r="N96" s="17"/>
    </row>
    <row r="97" spans="7:14" x14ac:dyDescent="0.25">
      <c r="G97" s="10"/>
      <c r="H97" s="10"/>
      <c r="I97" s="10"/>
      <c r="J97" s="10"/>
      <c r="K97" s="10"/>
      <c r="L97" s="58"/>
      <c r="M97" s="17"/>
      <c r="N97" s="17"/>
    </row>
    <row r="98" spans="7:14" x14ac:dyDescent="0.25">
      <c r="G98" s="10"/>
      <c r="H98" s="10"/>
      <c r="I98" s="10"/>
      <c r="J98" s="10"/>
      <c r="K98" s="10"/>
      <c r="L98" s="58"/>
      <c r="M98" s="17"/>
      <c r="N98" s="17"/>
    </row>
    <row r="99" spans="7:14" x14ac:dyDescent="0.25">
      <c r="G99" s="10"/>
      <c r="H99" s="10"/>
      <c r="I99" s="10"/>
      <c r="J99" s="10"/>
      <c r="K99" s="10"/>
      <c r="L99" s="58"/>
      <c r="M99" s="17"/>
      <c r="N99" s="17"/>
    </row>
    <row r="100" spans="7:14" x14ac:dyDescent="0.25">
      <c r="G100" s="10"/>
      <c r="H100" s="10"/>
      <c r="I100" s="10"/>
      <c r="J100" s="10"/>
      <c r="K100" s="10"/>
      <c r="L100" s="58"/>
      <c r="M100" s="17"/>
      <c r="N100" s="17"/>
    </row>
    <row r="101" spans="7:14" x14ac:dyDescent="0.25">
      <c r="G101" s="10"/>
      <c r="H101" s="10"/>
      <c r="I101" s="10"/>
      <c r="J101" s="10"/>
      <c r="K101" s="10"/>
      <c r="L101" s="58"/>
      <c r="M101" s="17"/>
      <c r="N101" s="17"/>
    </row>
    <row r="102" spans="7:14" x14ac:dyDescent="0.25">
      <c r="G102" s="10"/>
      <c r="H102" s="10"/>
      <c r="I102" s="10"/>
      <c r="J102" s="10"/>
      <c r="K102" s="10"/>
      <c r="L102" s="58"/>
      <c r="M102" s="17"/>
      <c r="N102" s="17"/>
    </row>
    <row r="103" spans="7:14" x14ac:dyDescent="0.25">
      <c r="G103" s="10"/>
      <c r="H103" s="10"/>
      <c r="I103" s="10"/>
      <c r="J103" s="10"/>
      <c r="K103" s="10"/>
      <c r="L103" s="58"/>
      <c r="M103" s="17"/>
      <c r="N103" s="17"/>
    </row>
    <row r="104" spans="7:14" x14ac:dyDescent="0.25">
      <c r="G104" s="10"/>
      <c r="H104" s="10"/>
      <c r="I104" s="10"/>
      <c r="J104" s="10"/>
      <c r="K104" s="10"/>
      <c r="L104" s="58"/>
      <c r="M104" s="17"/>
      <c r="N104" s="17"/>
    </row>
    <row r="105" spans="7:14" x14ac:dyDescent="0.25">
      <c r="G105" s="10"/>
      <c r="H105" s="10"/>
      <c r="I105" s="10"/>
      <c r="J105" s="10"/>
      <c r="K105" s="10"/>
      <c r="L105" s="58"/>
      <c r="M105" s="17"/>
      <c r="N105" s="17"/>
    </row>
    <row r="106" spans="7:14" x14ac:dyDescent="0.25">
      <c r="G106" s="10"/>
      <c r="H106" s="10"/>
      <c r="I106" s="10"/>
      <c r="J106" s="10"/>
      <c r="K106" s="10"/>
      <c r="L106" s="58"/>
      <c r="M106" s="17"/>
      <c r="N106" s="17"/>
    </row>
    <row r="107" spans="7:14" x14ac:dyDescent="0.25">
      <c r="G107" s="10"/>
      <c r="H107" s="10"/>
      <c r="I107" s="10"/>
      <c r="J107" s="10"/>
      <c r="K107" s="10"/>
      <c r="L107" s="58"/>
      <c r="M107" s="17"/>
      <c r="N107" s="17"/>
    </row>
    <row r="108" spans="7:14" x14ac:dyDescent="0.25">
      <c r="G108" s="10"/>
      <c r="H108" s="10"/>
      <c r="I108" s="10"/>
      <c r="J108" s="10"/>
      <c r="K108" s="10"/>
      <c r="L108" s="58"/>
      <c r="M108" s="17"/>
      <c r="N108" s="17"/>
    </row>
    <row r="109" spans="7:14" x14ac:dyDescent="0.25">
      <c r="G109" s="10"/>
      <c r="H109" s="10"/>
      <c r="I109" s="10"/>
      <c r="J109" s="10"/>
      <c r="K109" s="10"/>
      <c r="L109" s="58"/>
      <c r="M109" s="17"/>
      <c r="N109" s="17"/>
    </row>
    <row r="110" spans="7:14" x14ac:dyDescent="0.25">
      <c r="G110" s="10"/>
      <c r="H110" s="10"/>
      <c r="I110" s="10"/>
      <c r="J110" s="10"/>
      <c r="K110" s="10"/>
      <c r="L110" s="58"/>
      <c r="M110" s="17"/>
      <c r="N110" s="17"/>
    </row>
    <row r="111" spans="7:14" x14ac:dyDescent="0.25">
      <c r="G111" s="10"/>
      <c r="H111" s="10"/>
      <c r="I111" s="10"/>
      <c r="J111" s="10"/>
      <c r="K111" s="10"/>
      <c r="L111" s="58"/>
      <c r="M111" s="17"/>
      <c r="N111" s="17"/>
    </row>
    <row r="112" spans="7:14" x14ac:dyDescent="0.25">
      <c r="G112" s="10"/>
      <c r="H112" s="10"/>
      <c r="I112" s="10"/>
      <c r="J112" s="10"/>
      <c r="K112" s="10"/>
      <c r="L112" s="58"/>
      <c r="M112" s="17"/>
      <c r="N112" s="17"/>
    </row>
    <row r="113" spans="7:14" x14ac:dyDescent="0.25">
      <c r="G113" s="49"/>
      <c r="H113" s="49"/>
      <c r="I113" s="49"/>
      <c r="J113" s="49"/>
      <c r="K113" s="49"/>
      <c r="L113" s="49"/>
      <c r="M113" s="52"/>
      <c r="N113" s="52"/>
    </row>
    <row r="114" spans="7:14" x14ac:dyDescent="0.25">
      <c r="G114" s="10"/>
      <c r="H114" s="10"/>
      <c r="I114" s="10"/>
      <c r="J114" s="10"/>
      <c r="K114" s="10"/>
      <c r="L114" s="58"/>
      <c r="M114" s="17"/>
      <c r="N114" s="17"/>
    </row>
    <row r="115" spans="7:14" x14ac:dyDescent="0.25">
      <c r="G115" s="10"/>
      <c r="H115" s="10"/>
      <c r="I115" s="10"/>
      <c r="J115" s="10"/>
      <c r="K115" s="10"/>
      <c r="L115" s="58"/>
      <c r="M115" s="17"/>
      <c r="N115" s="17"/>
    </row>
    <row r="116" spans="7:14" x14ac:dyDescent="0.25">
      <c r="G116" s="10"/>
      <c r="H116" s="10"/>
      <c r="I116" s="10"/>
      <c r="J116" s="10"/>
      <c r="K116" s="10"/>
      <c r="L116" s="58"/>
      <c r="M116" s="17"/>
      <c r="N116" s="17"/>
    </row>
    <row r="117" spans="7:14" x14ac:dyDescent="0.25">
      <c r="G117" s="10"/>
      <c r="H117" s="10"/>
      <c r="I117" s="10"/>
      <c r="J117" s="10"/>
      <c r="K117" s="10"/>
      <c r="L117" s="58"/>
      <c r="M117" s="17"/>
      <c r="N117" s="17"/>
    </row>
    <row r="118" spans="7:14" x14ac:dyDescent="0.25">
      <c r="G118" s="10"/>
      <c r="H118" s="10"/>
      <c r="I118" s="10"/>
      <c r="J118" s="10"/>
      <c r="K118" s="10"/>
      <c r="L118" s="58"/>
      <c r="M118" s="17"/>
      <c r="N118" s="17"/>
    </row>
    <row r="119" spans="7:14" x14ac:dyDescent="0.25">
      <c r="G119" s="10"/>
      <c r="H119" s="10"/>
      <c r="I119" s="10"/>
      <c r="J119" s="10"/>
      <c r="K119" s="10"/>
      <c r="L119" s="58"/>
      <c r="M119" s="17"/>
      <c r="N119" s="17"/>
    </row>
    <row r="120" spans="7:14" x14ac:dyDescent="0.25">
      <c r="G120" s="10"/>
      <c r="H120" s="10"/>
      <c r="I120" s="10"/>
      <c r="J120" s="10"/>
      <c r="K120" s="10"/>
      <c r="L120" s="58"/>
      <c r="M120" s="17"/>
      <c r="N120" s="17"/>
    </row>
    <row r="121" spans="7:14" x14ac:dyDescent="0.25">
      <c r="G121" s="10"/>
      <c r="H121" s="10"/>
      <c r="I121" s="10"/>
      <c r="J121" s="10"/>
      <c r="K121" s="10"/>
      <c r="L121" s="58"/>
      <c r="M121" s="17"/>
      <c r="N121" s="17"/>
    </row>
    <row r="122" spans="7:14" x14ac:dyDescent="0.25">
      <c r="G122" s="10"/>
      <c r="H122" s="10"/>
      <c r="I122" s="10"/>
      <c r="J122" s="10"/>
      <c r="K122" s="10"/>
      <c r="L122" s="58"/>
      <c r="M122" s="17"/>
      <c r="N122" s="17"/>
    </row>
    <row r="123" spans="7:14" x14ac:dyDescent="0.25">
      <c r="G123" s="10"/>
      <c r="H123" s="10"/>
      <c r="I123" s="10"/>
      <c r="J123" s="10"/>
      <c r="K123" s="10"/>
      <c r="L123" s="58"/>
      <c r="M123" s="17"/>
      <c r="N123" s="17"/>
    </row>
    <row r="124" spans="7:14" x14ac:dyDescent="0.25">
      <c r="G124" s="10"/>
      <c r="H124" s="10"/>
      <c r="I124" s="10"/>
      <c r="J124" s="10"/>
      <c r="K124" s="10"/>
      <c r="L124" s="58"/>
      <c r="M124" s="17"/>
      <c r="N124" s="17"/>
    </row>
    <row r="125" spans="7:14" x14ac:dyDescent="0.25">
      <c r="G125" s="10"/>
      <c r="H125" s="10"/>
      <c r="I125" s="10"/>
      <c r="J125" s="10"/>
      <c r="K125" s="10"/>
      <c r="L125" s="58"/>
      <c r="M125" s="17"/>
      <c r="N125" s="17"/>
    </row>
    <row r="126" spans="7:14" x14ac:dyDescent="0.25">
      <c r="G126" s="10"/>
      <c r="H126" s="10"/>
      <c r="I126" s="10"/>
      <c r="J126" s="10"/>
      <c r="K126" s="10"/>
      <c r="L126" s="58"/>
      <c r="M126" s="17"/>
      <c r="N126" s="17"/>
    </row>
    <row r="127" spans="7:14" x14ac:dyDescent="0.25">
      <c r="G127" s="10"/>
      <c r="H127" s="10"/>
      <c r="I127" s="10"/>
      <c r="J127" s="10"/>
      <c r="K127" s="10"/>
      <c r="L127" s="58"/>
      <c r="M127" s="17"/>
      <c r="N127" s="17"/>
    </row>
    <row r="128" spans="7:14" x14ac:dyDescent="0.25">
      <c r="G128" s="10"/>
      <c r="H128" s="10"/>
      <c r="I128" s="10"/>
      <c r="J128" s="10"/>
      <c r="K128" s="10"/>
      <c r="L128" s="58"/>
      <c r="M128" s="17"/>
      <c r="N128" s="17"/>
    </row>
    <row r="129" spans="7:14" x14ac:dyDescent="0.25">
      <c r="G129" s="10"/>
      <c r="H129" s="10"/>
      <c r="I129" s="10"/>
      <c r="J129" s="10"/>
      <c r="K129" s="10"/>
      <c r="L129" s="58"/>
      <c r="M129" s="17"/>
      <c r="N129" s="17"/>
    </row>
    <row r="130" spans="7:14" x14ac:dyDescent="0.25">
      <c r="G130" s="10"/>
      <c r="H130" s="10"/>
      <c r="I130" s="10"/>
      <c r="J130" s="10"/>
      <c r="K130" s="10"/>
      <c r="L130" s="58"/>
      <c r="M130" s="17"/>
      <c r="N130" s="17"/>
    </row>
    <row r="131" spans="7:14" x14ac:dyDescent="0.25">
      <c r="G131" s="10"/>
      <c r="H131" s="10"/>
      <c r="I131" s="10"/>
      <c r="J131" s="10"/>
      <c r="K131" s="10"/>
      <c r="L131" s="58"/>
      <c r="M131" s="17"/>
      <c r="N131" s="17"/>
    </row>
    <row r="132" spans="7:14" x14ac:dyDescent="0.25">
      <c r="G132" s="10"/>
      <c r="H132" s="10"/>
      <c r="I132" s="10"/>
      <c r="J132" s="10"/>
      <c r="K132" s="10"/>
      <c r="L132" s="58"/>
      <c r="M132" s="17"/>
      <c r="N132" s="17"/>
    </row>
    <row r="133" spans="7:14" x14ac:dyDescent="0.25">
      <c r="G133" s="10"/>
      <c r="H133" s="10"/>
      <c r="I133" s="10"/>
      <c r="J133" s="10"/>
      <c r="K133" s="10"/>
      <c r="L133" s="58"/>
      <c r="M133" s="17"/>
      <c r="N133" s="17"/>
    </row>
    <row r="134" spans="7:14" x14ac:dyDescent="0.25">
      <c r="G134" s="10"/>
      <c r="H134" s="10"/>
      <c r="I134" s="10"/>
      <c r="J134" s="10"/>
      <c r="K134" s="10"/>
      <c r="L134" s="58"/>
      <c r="M134" s="17"/>
      <c r="N134" s="17"/>
    </row>
    <row r="135" spans="7:14" x14ac:dyDescent="0.25">
      <c r="G135" s="10"/>
      <c r="H135" s="10"/>
      <c r="I135" s="10"/>
      <c r="J135" s="10"/>
      <c r="K135" s="10"/>
      <c r="L135" s="58"/>
      <c r="M135" s="17"/>
      <c r="N135" s="17"/>
    </row>
    <row r="136" spans="7:14" x14ac:dyDescent="0.25">
      <c r="G136" s="10"/>
      <c r="H136" s="10"/>
      <c r="I136" s="10"/>
      <c r="J136" s="10"/>
      <c r="K136" s="10"/>
      <c r="L136" s="58"/>
      <c r="M136" s="17"/>
      <c r="N136" s="17"/>
    </row>
    <row r="137" spans="7:14" x14ac:dyDescent="0.25">
      <c r="G137" s="10"/>
      <c r="H137" s="10"/>
      <c r="I137" s="10"/>
      <c r="J137" s="10"/>
      <c r="K137" s="10"/>
      <c r="L137" s="58"/>
      <c r="M137" s="17"/>
      <c r="N137" s="17"/>
    </row>
    <row r="138" spans="7:14" x14ac:dyDescent="0.25">
      <c r="G138" s="10"/>
      <c r="H138" s="10"/>
      <c r="I138" s="10"/>
      <c r="J138" s="10"/>
      <c r="K138" s="10"/>
      <c r="L138" s="58"/>
      <c r="M138" s="17"/>
      <c r="N138" s="17"/>
    </row>
    <row r="139" spans="7:14" x14ac:dyDescent="0.25">
      <c r="G139" s="10"/>
      <c r="H139" s="10"/>
      <c r="I139" s="10"/>
      <c r="J139" s="10"/>
      <c r="K139" s="10"/>
      <c r="L139" s="58"/>
      <c r="M139" s="17"/>
      <c r="N139" s="17"/>
    </row>
    <row r="140" spans="7:14" x14ac:dyDescent="0.25">
      <c r="G140" s="10"/>
      <c r="H140" s="10"/>
      <c r="I140" s="10"/>
      <c r="J140" s="10"/>
      <c r="K140" s="10"/>
      <c r="L140" s="58"/>
      <c r="M140" s="17"/>
      <c r="N140" s="17"/>
    </row>
    <row r="141" spans="7:14" x14ac:dyDescent="0.25">
      <c r="G141" s="10"/>
      <c r="H141" s="10"/>
      <c r="I141" s="10"/>
      <c r="J141" s="10"/>
      <c r="K141" s="10"/>
      <c r="L141" s="58"/>
      <c r="M141" s="17"/>
      <c r="N141" s="17"/>
    </row>
    <row r="142" spans="7:14" x14ac:dyDescent="0.25">
      <c r="G142" s="10"/>
      <c r="H142" s="10"/>
      <c r="I142" s="10"/>
      <c r="J142" s="10"/>
      <c r="K142" s="10"/>
      <c r="L142" s="58"/>
      <c r="M142" s="17"/>
      <c r="N142" s="17"/>
    </row>
    <row r="143" spans="7:14" x14ac:dyDescent="0.25">
      <c r="G143" s="10"/>
      <c r="H143" s="10"/>
      <c r="I143" s="10"/>
      <c r="J143" s="10"/>
      <c r="K143" s="10"/>
      <c r="L143" s="58"/>
      <c r="M143" s="17"/>
      <c r="N143" s="17"/>
    </row>
    <row r="144" spans="7:14" x14ac:dyDescent="0.25">
      <c r="G144" s="10"/>
      <c r="H144" s="10"/>
      <c r="I144" s="10"/>
      <c r="J144" s="10"/>
      <c r="K144" s="10"/>
      <c r="L144" s="58"/>
      <c r="M144" s="17"/>
      <c r="N144" s="17"/>
    </row>
    <row r="145" spans="7:14" x14ac:dyDescent="0.25">
      <c r="G145" s="10"/>
      <c r="H145" s="10"/>
      <c r="I145" s="10"/>
      <c r="J145" s="10"/>
      <c r="K145" s="10"/>
      <c r="L145" s="58"/>
      <c r="M145" s="17"/>
      <c r="N145" s="17"/>
    </row>
    <row r="146" spans="7:14" x14ac:dyDescent="0.25">
      <c r="G146" s="10"/>
      <c r="H146" s="10"/>
      <c r="I146" s="10"/>
      <c r="J146" s="10"/>
      <c r="K146" s="10"/>
      <c r="L146" s="58"/>
      <c r="M146" s="17"/>
      <c r="N146" s="17"/>
    </row>
    <row r="147" spans="7:14" x14ac:dyDescent="0.25">
      <c r="G147" s="10"/>
      <c r="H147" s="10"/>
      <c r="I147" s="10"/>
      <c r="J147" s="10"/>
      <c r="K147" s="10"/>
      <c r="L147" s="58"/>
      <c r="M147" s="17"/>
      <c r="N147" s="17"/>
    </row>
    <row r="148" spans="7:14" x14ac:dyDescent="0.25">
      <c r="G148" s="10"/>
      <c r="H148" s="10"/>
      <c r="I148" s="10"/>
      <c r="J148" s="10"/>
      <c r="K148" s="10"/>
      <c r="L148" s="58"/>
      <c r="M148" s="17"/>
      <c r="N148" s="17"/>
    </row>
    <row r="149" spans="7:14" x14ac:dyDescent="0.25">
      <c r="G149" s="10"/>
      <c r="H149" s="10"/>
      <c r="I149" s="10"/>
      <c r="J149" s="10"/>
      <c r="K149" s="10"/>
      <c r="L149" s="58"/>
      <c r="M149" s="17"/>
      <c r="N149" s="17"/>
    </row>
    <row r="150" spans="7:14" x14ac:dyDescent="0.25">
      <c r="G150" s="10"/>
      <c r="H150" s="10"/>
      <c r="I150" s="10"/>
      <c r="J150" s="10"/>
      <c r="K150" s="10"/>
      <c r="L150" s="58"/>
      <c r="M150" s="17"/>
      <c r="N150" s="17"/>
    </row>
    <row r="151" spans="7:14" x14ac:dyDescent="0.25">
      <c r="G151" s="53"/>
      <c r="H151" s="53"/>
      <c r="I151" s="53"/>
      <c r="J151" s="53"/>
      <c r="K151" s="53"/>
      <c r="L151" s="62"/>
      <c r="M151" s="52"/>
      <c r="N151" s="52"/>
    </row>
    <row r="152" spans="7:14" x14ac:dyDescent="0.25">
      <c r="G152" s="17"/>
      <c r="H152" s="17"/>
      <c r="I152" s="17"/>
      <c r="J152" s="17"/>
      <c r="K152" s="17"/>
      <c r="L152" s="63"/>
      <c r="M152" s="17"/>
      <c r="N152" s="17"/>
    </row>
    <row r="153" spans="7:14" x14ac:dyDescent="0.25">
      <c r="G153" s="10"/>
      <c r="H153" s="10"/>
      <c r="I153" s="10"/>
      <c r="J153" s="10"/>
      <c r="K153" s="10"/>
      <c r="L153" s="58"/>
      <c r="M153" s="17"/>
      <c r="N153" s="17"/>
    </row>
    <row r="154" spans="7:14" x14ac:dyDescent="0.25">
      <c r="G154" s="10"/>
      <c r="H154" s="10"/>
      <c r="I154" s="10"/>
      <c r="J154" s="10"/>
      <c r="K154" s="10"/>
      <c r="L154" s="58"/>
      <c r="M154" s="17"/>
      <c r="N154" s="17"/>
    </row>
    <row r="155" spans="7:14" x14ac:dyDescent="0.25">
      <c r="G155" s="10"/>
      <c r="H155" s="10"/>
      <c r="I155" s="10"/>
      <c r="J155" s="10"/>
      <c r="K155" s="10"/>
      <c r="L155" s="58"/>
      <c r="M155" s="17"/>
      <c r="N155" s="17"/>
    </row>
    <row r="156" spans="7:14" x14ac:dyDescent="0.25">
      <c r="G156" s="10"/>
      <c r="H156" s="10"/>
      <c r="I156" s="10"/>
      <c r="J156" s="10"/>
      <c r="K156" s="10"/>
      <c r="L156" s="58"/>
      <c r="M156" s="17"/>
      <c r="N156" s="17"/>
    </row>
    <row r="157" spans="7:14" x14ac:dyDescent="0.25">
      <c r="G157" s="10"/>
      <c r="H157" s="10"/>
      <c r="I157" s="10"/>
      <c r="J157" s="10"/>
      <c r="K157" s="10"/>
      <c r="L157" s="58"/>
      <c r="M157" s="17"/>
      <c r="N157" s="17"/>
    </row>
    <row r="158" spans="7:14" x14ac:dyDescent="0.25">
      <c r="G158" s="10"/>
      <c r="H158" s="10"/>
      <c r="I158" s="10"/>
      <c r="J158" s="10"/>
      <c r="K158" s="10"/>
      <c r="L158" s="58"/>
      <c r="M158" s="17"/>
      <c r="N158" s="17"/>
    </row>
    <row r="159" spans="7:14" x14ac:dyDescent="0.25">
      <c r="G159" s="10"/>
      <c r="H159" s="10"/>
      <c r="I159" s="10"/>
      <c r="J159" s="10"/>
      <c r="K159" s="10"/>
      <c r="L159" s="58"/>
      <c r="M159" s="17"/>
      <c r="N159" s="17"/>
    </row>
    <row r="160" spans="7:14" x14ac:dyDescent="0.25">
      <c r="G160" s="10"/>
      <c r="H160" s="10"/>
      <c r="I160" s="10"/>
      <c r="J160" s="10"/>
      <c r="K160" s="10"/>
      <c r="L160" s="58"/>
      <c r="M160" s="17"/>
      <c r="N160" s="17"/>
    </row>
    <row r="161" spans="7:14" x14ac:dyDescent="0.25">
      <c r="G161" s="10"/>
      <c r="H161" s="10"/>
      <c r="I161" s="10"/>
      <c r="J161" s="10"/>
      <c r="K161" s="10"/>
      <c r="L161" s="58"/>
      <c r="M161" s="17"/>
      <c r="N161" s="17"/>
    </row>
    <row r="162" spans="7:14" x14ac:dyDescent="0.25">
      <c r="G162" s="10"/>
      <c r="H162" s="10"/>
      <c r="I162" s="10"/>
      <c r="J162" s="10"/>
      <c r="K162" s="10"/>
      <c r="L162" s="58"/>
      <c r="M162" s="17"/>
      <c r="N162" s="17"/>
    </row>
    <row r="163" spans="7:14" x14ac:dyDescent="0.25">
      <c r="G163" s="10"/>
      <c r="H163" s="10"/>
      <c r="I163" s="10"/>
      <c r="J163" s="10"/>
      <c r="K163" s="10"/>
      <c r="L163" s="58"/>
      <c r="M163" s="17"/>
      <c r="N163" s="17"/>
    </row>
    <row r="164" spans="7:14" x14ac:dyDescent="0.25">
      <c r="G164" s="10"/>
      <c r="H164" s="10"/>
      <c r="I164" s="10"/>
      <c r="J164" s="10"/>
      <c r="K164" s="10"/>
      <c r="L164" s="58"/>
      <c r="M164" s="17"/>
      <c r="N164" s="17"/>
    </row>
    <row r="165" spans="7:14" x14ac:dyDescent="0.25">
      <c r="G165" s="10"/>
      <c r="H165" s="10"/>
      <c r="I165" s="10"/>
      <c r="J165" s="10"/>
      <c r="K165" s="10"/>
      <c r="L165" s="58"/>
      <c r="M165" s="17"/>
      <c r="N165" s="17"/>
    </row>
    <row r="166" spans="7:14" x14ac:dyDescent="0.25">
      <c r="G166" s="10"/>
      <c r="H166" s="10"/>
      <c r="I166" s="10"/>
      <c r="J166" s="10"/>
      <c r="K166" s="10"/>
      <c r="L166" s="58"/>
      <c r="M166" s="17"/>
      <c r="N166" s="17"/>
    </row>
    <row r="167" spans="7:14" x14ac:dyDescent="0.25">
      <c r="G167" s="10"/>
      <c r="H167" s="10"/>
      <c r="I167" s="10"/>
      <c r="J167" s="10"/>
      <c r="K167" s="10"/>
      <c r="L167" s="58"/>
      <c r="M167" s="17"/>
      <c r="N167" s="17"/>
    </row>
    <row r="168" spans="7:14" x14ac:dyDescent="0.25">
      <c r="G168" s="10"/>
      <c r="H168" s="10"/>
      <c r="I168" s="10"/>
      <c r="J168" s="10"/>
      <c r="K168" s="10"/>
      <c r="L168" s="58"/>
      <c r="M168" s="17"/>
      <c r="N168" s="17"/>
    </row>
    <row r="169" spans="7:14" x14ac:dyDescent="0.25">
      <c r="G169" s="10"/>
      <c r="H169" s="10"/>
      <c r="I169" s="10"/>
      <c r="J169" s="10"/>
      <c r="K169" s="10"/>
      <c r="L169" s="58"/>
      <c r="M169" s="17"/>
      <c r="N169" s="17"/>
    </row>
    <row r="170" spans="7:14" x14ac:dyDescent="0.25">
      <c r="G170" s="10"/>
      <c r="H170" s="10"/>
      <c r="I170" s="10"/>
      <c r="J170" s="10"/>
      <c r="K170" s="10"/>
      <c r="L170" s="58"/>
      <c r="M170" s="17"/>
      <c r="N170" s="17"/>
    </row>
    <row r="171" spans="7:14" x14ac:dyDescent="0.25">
      <c r="G171" s="10"/>
      <c r="H171" s="10"/>
      <c r="I171" s="10"/>
      <c r="J171" s="10"/>
      <c r="K171" s="10"/>
      <c r="L171" s="58"/>
      <c r="M171" s="17"/>
      <c r="N171" s="17"/>
    </row>
    <row r="172" spans="7:14" x14ac:dyDescent="0.25">
      <c r="G172" s="10"/>
      <c r="H172" s="10"/>
      <c r="I172" s="10"/>
      <c r="J172" s="10"/>
      <c r="K172" s="10"/>
      <c r="L172" s="58"/>
      <c r="M172" s="17"/>
      <c r="N172" s="17"/>
    </row>
    <row r="173" spans="7:14" x14ac:dyDescent="0.25">
      <c r="G173" s="10"/>
      <c r="H173" s="10"/>
      <c r="I173" s="10"/>
      <c r="J173" s="10"/>
      <c r="K173" s="10"/>
      <c r="L173" s="58"/>
      <c r="M173" s="17"/>
      <c r="N173" s="17"/>
    </row>
    <row r="174" spans="7:14" x14ac:dyDescent="0.25">
      <c r="G174" s="10"/>
      <c r="H174" s="10"/>
      <c r="I174" s="10"/>
      <c r="J174" s="10"/>
      <c r="K174" s="10"/>
      <c r="L174" s="58"/>
      <c r="M174" s="17"/>
      <c r="N174" s="17"/>
    </row>
    <row r="175" spans="7:14" x14ac:dyDescent="0.25">
      <c r="G175" s="10"/>
      <c r="H175" s="10"/>
      <c r="I175" s="10"/>
      <c r="J175" s="10"/>
      <c r="K175" s="10"/>
      <c r="L175" s="58"/>
      <c r="M175" s="17"/>
      <c r="N175" s="17"/>
    </row>
    <row r="176" spans="7:14" x14ac:dyDescent="0.25">
      <c r="G176" s="10"/>
      <c r="H176" s="10"/>
      <c r="I176" s="10"/>
      <c r="J176" s="10"/>
      <c r="K176" s="10"/>
      <c r="L176" s="58"/>
      <c r="M176" s="17"/>
      <c r="N176" s="17"/>
    </row>
    <row r="177" spans="7:14" x14ac:dyDescent="0.25">
      <c r="G177" s="10"/>
      <c r="H177" s="10"/>
      <c r="I177" s="10"/>
      <c r="J177" s="10"/>
      <c r="K177" s="10"/>
      <c r="L177" s="58"/>
      <c r="M177" s="17"/>
      <c r="N177" s="17"/>
    </row>
    <row r="178" spans="7:14" x14ac:dyDescent="0.25">
      <c r="G178" s="10"/>
      <c r="H178" s="10"/>
      <c r="I178" s="10"/>
      <c r="J178" s="10"/>
      <c r="K178" s="10"/>
      <c r="L178" s="58"/>
      <c r="M178" s="17"/>
      <c r="N178" s="17"/>
    </row>
    <row r="179" spans="7:14" x14ac:dyDescent="0.25">
      <c r="G179" s="10"/>
      <c r="H179" s="10"/>
      <c r="I179" s="10"/>
      <c r="J179" s="10"/>
      <c r="K179" s="10"/>
      <c r="L179" s="58"/>
      <c r="M179" s="17"/>
      <c r="N179" s="17"/>
    </row>
    <row r="180" spans="7:14" x14ac:dyDescent="0.25">
      <c r="G180" s="10"/>
      <c r="H180" s="10"/>
      <c r="I180" s="10"/>
      <c r="J180" s="10"/>
      <c r="K180" s="10"/>
      <c r="L180" s="58"/>
      <c r="M180" s="17"/>
      <c r="N180" s="17"/>
    </row>
    <row r="181" spans="7:14" x14ac:dyDescent="0.25">
      <c r="G181" s="10"/>
      <c r="H181" s="10"/>
      <c r="I181" s="10"/>
      <c r="J181" s="10"/>
      <c r="K181" s="10"/>
      <c r="L181" s="58"/>
      <c r="M181" s="17"/>
      <c r="N181" s="17"/>
    </row>
    <row r="182" spans="7:14" x14ac:dyDescent="0.25">
      <c r="G182" s="10"/>
      <c r="H182" s="10"/>
      <c r="I182" s="10"/>
      <c r="J182" s="10"/>
      <c r="K182" s="10"/>
      <c r="L182" s="10"/>
      <c r="M182" s="17"/>
      <c r="N182" s="17"/>
    </row>
    <row r="183" spans="7:14" x14ac:dyDescent="0.25">
      <c r="G183" s="10"/>
      <c r="H183" s="10"/>
      <c r="I183" s="10"/>
      <c r="J183" s="10"/>
      <c r="K183" s="10"/>
      <c r="L183" s="10"/>
      <c r="M183" s="17"/>
      <c r="N183" s="17"/>
    </row>
    <row r="184" spans="7:14" x14ac:dyDescent="0.25">
      <c r="G184" s="10"/>
      <c r="H184" s="10"/>
      <c r="I184" s="10"/>
      <c r="J184" s="10"/>
      <c r="K184" s="10"/>
      <c r="L184" s="10"/>
      <c r="M184" s="17"/>
      <c r="N184" s="17"/>
    </row>
    <row r="185" spans="7:14" x14ac:dyDescent="0.25">
      <c r="G185" s="54"/>
      <c r="H185" s="54"/>
      <c r="I185" s="54"/>
      <c r="J185" s="54"/>
      <c r="K185" s="54"/>
      <c r="L185" s="54"/>
      <c r="M185" s="54"/>
      <c r="N185" s="54"/>
    </row>
    <row r="186" spans="7:14" ht="13.8" thickBot="1" x14ac:dyDescent="0.3"/>
    <row r="187" spans="7:14" ht="13.8" thickBot="1" x14ac:dyDescent="0.3">
      <c r="G187" s="55"/>
      <c r="H187" s="55"/>
      <c r="I187" s="55"/>
      <c r="J187" s="55"/>
      <c r="K187" s="55"/>
      <c r="L187" s="55"/>
      <c r="M187" s="57"/>
      <c r="N187" s="56"/>
    </row>
    <row r="188" spans="7:14" ht="13.8" thickBot="1" x14ac:dyDescent="0.3">
      <c r="G188" s="55"/>
      <c r="H188" s="55"/>
      <c r="I188" s="55"/>
      <c r="J188" s="55"/>
      <c r="K188" s="55"/>
      <c r="L188" s="55"/>
      <c r="M188" s="57"/>
      <c r="N188" s="56"/>
    </row>
    <row r="189" spans="7:14" ht="13.8" thickBot="1" x14ac:dyDescent="0.3">
      <c r="G189" s="55"/>
      <c r="H189" s="55"/>
      <c r="I189" s="55"/>
      <c r="J189" s="55"/>
      <c r="K189" s="55"/>
      <c r="L189" s="55"/>
      <c r="M189" s="57"/>
      <c r="N189" s="56"/>
    </row>
    <row r="190" spans="7:14" x14ac:dyDescent="0.25">
      <c r="G190" s="55"/>
      <c r="H190" s="55"/>
      <c r="I190" s="55"/>
      <c r="J190" s="55"/>
      <c r="K190" s="55"/>
      <c r="L190" s="55"/>
      <c r="M190" s="57"/>
      <c r="N190" s="56"/>
    </row>
    <row r="191" spans="7:14" ht="13.8" thickBot="1" x14ac:dyDescent="0.3">
      <c r="G191" s="55"/>
      <c r="H191" s="55"/>
      <c r="I191" s="55"/>
      <c r="J191" s="55"/>
      <c r="K191" s="55"/>
      <c r="L191" s="55"/>
      <c r="M191" s="51"/>
      <c r="N191" s="56"/>
    </row>
    <row r="192" spans="7:14" ht="13.8" thickBot="1" x14ac:dyDescent="0.3">
      <c r="G192" s="55"/>
      <c r="H192" s="55"/>
      <c r="I192" s="55"/>
      <c r="J192" s="55"/>
      <c r="K192" s="55"/>
      <c r="L192" s="55"/>
      <c r="M192" s="57"/>
      <c r="N192" s="56"/>
    </row>
    <row r="193" spans="7:14" ht="13.8" thickBot="1" x14ac:dyDescent="0.3">
      <c r="G193" s="55"/>
      <c r="H193" s="55"/>
      <c r="I193" s="55"/>
      <c r="J193" s="55"/>
      <c r="K193" s="55"/>
      <c r="L193" s="55"/>
      <c r="M193" s="57"/>
      <c r="N193" s="56"/>
    </row>
    <row r="194" spans="7:14" ht="13.8" thickBot="1" x14ac:dyDescent="0.3">
      <c r="G194" s="55"/>
      <c r="H194" s="55"/>
      <c r="I194" s="55"/>
      <c r="J194" s="55"/>
      <c r="K194" s="55"/>
      <c r="L194" s="55"/>
      <c r="M194" s="57"/>
      <c r="N194" s="56"/>
    </row>
    <row r="195" spans="7:14" ht="13.8" thickBot="1" x14ac:dyDescent="0.3">
      <c r="G195" s="55"/>
      <c r="H195" s="55"/>
      <c r="I195" s="55"/>
      <c r="J195" s="55"/>
      <c r="K195" s="55"/>
      <c r="L195" s="55"/>
      <c r="M195" s="57"/>
      <c r="N195" s="56"/>
    </row>
    <row r="196" spans="7:14" ht="13.8" thickBot="1" x14ac:dyDescent="0.3">
      <c r="G196" s="55"/>
      <c r="H196" s="55"/>
      <c r="I196" s="55"/>
      <c r="J196" s="55"/>
      <c r="K196" s="55"/>
      <c r="L196" s="55"/>
      <c r="M196" s="57"/>
      <c r="N196" s="56"/>
    </row>
    <row r="197" spans="7:14" ht="13.8" thickBot="1" x14ac:dyDescent="0.3">
      <c r="G197" s="55"/>
      <c r="H197" s="55"/>
      <c r="I197" s="55"/>
      <c r="J197" s="55"/>
      <c r="K197" s="55"/>
      <c r="L197" s="55"/>
      <c r="M197" s="57"/>
      <c r="N197" s="56"/>
    </row>
    <row r="198" spans="7:14" x14ac:dyDescent="0.25">
      <c r="G198" s="46"/>
      <c r="H198" s="46"/>
      <c r="I198" s="46"/>
      <c r="J198" s="46"/>
      <c r="K198" s="46"/>
      <c r="L198" s="55"/>
      <c r="M198" s="57"/>
      <c r="N198" s="17"/>
    </row>
  </sheetData>
  <customSheetViews>
    <customSheetView guid="{31213FDE-1FC4-4753-AB26-CBCE91AA62C1}" scale="70" state="hidden" topLeftCell="A4">
      <selection activeCell="G9" sqref="G9:N198"/>
      <pageMargins left="0.7" right="0.7" top="0.75" bottom="0.75" header="0.3" footer="0.3"/>
      <pageSetup paperSize="9" orientation="portrait" verticalDpi="0"/>
    </customSheetView>
    <customSheetView guid="{EFFDA75A-10D8-45FA-B94E-D29847D61BE9}" scale="70" state="hidden" topLeftCell="A4">
      <selection activeCell="G9" sqref="G9:N198"/>
      <pageMargins left="0.7" right="0.7" top="0.75" bottom="0.75" header="0.3" footer="0.3"/>
      <pageSetup paperSize="9" orientation="portrait" verticalDpi="0"/>
    </customSheetView>
  </customSheetViews>
  <conditionalFormatting sqref="G60 G2:L58">
    <cfRule type="cellIs" dxfId="151" priority="165" stopIfTrue="1" operator="equal">
      <formula>"Fail"</formula>
    </cfRule>
    <cfRule type="cellIs" dxfId="150" priority="166" stopIfTrue="1" operator="equal">
      <formula>"Pass"</formula>
    </cfRule>
  </conditionalFormatting>
  <pageMargins left="0.7" right="0.7" top="0.75" bottom="0.75" header="0.3" footer="0.3"/>
  <pageSetup paperSize="9" orientation="portrait"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K76"/>
  <sheetViews>
    <sheetView tabSelected="1" zoomScale="70" zoomScaleNormal="70" workbookViewId="0">
      <pane ySplit="1" topLeftCell="A47" activePane="bottomLeft" state="frozen"/>
      <selection activeCell="T1" sqref="T1"/>
      <selection pane="bottomLeft" activeCell="E47" sqref="E47"/>
    </sheetView>
  </sheetViews>
  <sheetFormatPr defaultColWidth="11.44140625" defaultRowHeight="13.2" x14ac:dyDescent="0.25"/>
  <cols>
    <col min="1" max="1" width="15.44140625" style="74" customWidth="1"/>
    <col min="2" max="2" width="56.6640625" customWidth="1"/>
    <col min="3" max="3" width="45.109375" bestFit="1" customWidth="1"/>
    <col min="4" max="4" width="61.33203125" customWidth="1"/>
    <col min="5" max="5" width="63.44140625" customWidth="1"/>
    <col min="6" max="9" width="11.44140625" customWidth="1"/>
    <col min="10" max="10" width="63.6640625" hidden="1" customWidth="1"/>
    <col min="11" max="11" width="36.33203125" hidden="1" customWidth="1"/>
  </cols>
  <sheetData>
    <row r="1" spans="1:11" s="1" customFormat="1" ht="52.5" customHeight="1" x14ac:dyDescent="0.25">
      <c r="A1" s="180" t="s">
        <v>197</v>
      </c>
      <c r="B1" s="180" t="s">
        <v>5</v>
      </c>
      <c r="C1" s="180" t="s">
        <v>231</v>
      </c>
      <c r="D1" s="180" t="s">
        <v>6</v>
      </c>
      <c r="E1" s="180" t="s">
        <v>7</v>
      </c>
      <c r="F1" s="180"/>
      <c r="G1" s="180"/>
      <c r="H1" s="180"/>
      <c r="I1" s="180"/>
      <c r="J1" s="181" t="s">
        <v>198</v>
      </c>
      <c r="K1" s="182" t="s">
        <v>358</v>
      </c>
    </row>
    <row r="2" spans="1:11" s="1" customFormat="1" x14ac:dyDescent="0.25">
      <c r="A2" s="183"/>
      <c r="B2" s="184"/>
      <c r="C2" s="184"/>
      <c r="D2" s="184"/>
      <c r="E2" s="184"/>
      <c r="F2" s="184" t="s">
        <v>87</v>
      </c>
      <c r="G2" s="184" t="s">
        <v>91</v>
      </c>
      <c r="H2" s="184" t="s">
        <v>88</v>
      </c>
      <c r="I2" s="184" t="s">
        <v>9</v>
      </c>
      <c r="J2" s="185"/>
      <c r="K2" s="185"/>
    </row>
    <row r="3" spans="1:11" s="1" customFormat="1" x14ac:dyDescent="0.25">
      <c r="A3" s="186" t="s">
        <v>214</v>
      </c>
      <c r="B3" s="187"/>
      <c r="C3" s="187"/>
      <c r="D3" s="187"/>
      <c r="E3" s="187"/>
      <c r="F3" s="187"/>
      <c r="G3" s="187"/>
      <c r="H3" s="187"/>
      <c r="I3" s="188"/>
      <c r="J3" s="185"/>
      <c r="K3" s="185"/>
    </row>
    <row r="4" spans="1:11" ht="81" customHeight="1" x14ac:dyDescent="0.25">
      <c r="A4" s="189">
        <v>1</v>
      </c>
      <c r="B4" s="50" t="s">
        <v>366</v>
      </c>
      <c r="C4" s="51" t="s">
        <v>395</v>
      </c>
      <c r="D4" s="75" t="s">
        <v>97</v>
      </c>
      <c r="E4" s="78" t="s">
        <v>98</v>
      </c>
      <c r="F4" s="85"/>
      <c r="G4" s="85"/>
      <c r="H4" s="85"/>
      <c r="I4" s="51"/>
      <c r="J4" s="103" t="s">
        <v>204</v>
      </c>
      <c r="K4" s="107" t="s">
        <v>367</v>
      </c>
    </row>
    <row r="5" spans="1:11" ht="159.6" customHeight="1" x14ac:dyDescent="0.25">
      <c r="A5" s="189">
        <v>2</v>
      </c>
      <c r="B5" s="50"/>
      <c r="C5" s="50"/>
      <c r="D5" s="75" t="s">
        <v>389</v>
      </c>
      <c r="E5" s="75" t="s">
        <v>200</v>
      </c>
      <c r="F5" s="85"/>
      <c r="G5" s="104"/>
      <c r="H5" s="190"/>
      <c r="I5" s="51"/>
      <c r="J5" s="107"/>
      <c r="K5" s="107"/>
    </row>
    <row r="6" spans="1:11" ht="118.95" customHeight="1" x14ac:dyDescent="0.25">
      <c r="A6" s="189">
        <v>3</v>
      </c>
      <c r="B6" s="50"/>
      <c r="C6" s="50"/>
      <c r="D6" s="76" t="s">
        <v>390</v>
      </c>
      <c r="E6" s="76" t="s">
        <v>405</v>
      </c>
      <c r="F6" s="85"/>
      <c r="G6" s="85"/>
      <c r="H6" s="85"/>
      <c r="I6" s="51"/>
      <c r="J6" s="107"/>
      <c r="K6" s="107"/>
    </row>
    <row r="7" spans="1:11" ht="104.4" customHeight="1" x14ac:dyDescent="0.25">
      <c r="A7" s="189">
        <v>4</v>
      </c>
      <c r="B7" s="50"/>
      <c r="C7" s="50"/>
      <c r="D7" s="76" t="s">
        <v>396</v>
      </c>
      <c r="E7" s="76" t="s">
        <v>406</v>
      </c>
      <c r="F7" s="85"/>
      <c r="G7" s="85"/>
      <c r="H7" s="85"/>
      <c r="I7" s="51"/>
      <c r="J7" s="107"/>
      <c r="K7" s="107"/>
    </row>
    <row r="8" spans="1:11" x14ac:dyDescent="0.25">
      <c r="A8" s="162" t="s">
        <v>215</v>
      </c>
      <c r="B8" s="163"/>
      <c r="C8" s="163"/>
      <c r="D8" s="163"/>
      <c r="E8" s="163"/>
      <c r="F8" s="163"/>
      <c r="G8" s="163"/>
      <c r="H8" s="163"/>
      <c r="I8" s="164"/>
      <c r="J8" s="107"/>
      <c r="K8" s="107"/>
    </row>
    <row r="9" spans="1:11" ht="132" x14ac:dyDescent="0.25">
      <c r="A9" s="189">
        <v>5</v>
      </c>
      <c r="B9" s="50"/>
      <c r="C9" s="50"/>
      <c r="D9" s="84" t="s">
        <v>129</v>
      </c>
      <c r="E9" s="84" t="s">
        <v>127</v>
      </c>
      <c r="F9" s="85"/>
      <c r="G9" s="104"/>
      <c r="H9" s="190"/>
      <c r="I9" s="51"/>
      <c r="J9" s="107"/>
      <c r="K9" s="107"/>
    </row>
    <row r="10" spans="1:11" ht="58.2" customHeight="1" x14ac:dyDescent="0.25">
      <c r="A10" s="189">
        <v>6</v>
      </c>
      <c r="B10" s="50"/>
      <c r="C10" s="50" t="s">
        <v>249</v>
      </c>
      <c r="D10" s="84" t="s">
        <v>130</v>
      </c>
      <c r="E10" s="84" t="s">
        <v>99</v>
      </c>
      <c r="F10" s="85"/>
      <c r="G10" s="104"/>
      <c r="H10" s="191"/>
      <c r="I10" s="51"/>
      <c r="J10" s="103" t="s">
        <v>201</v>
      </c>
      <c r="K10" s="107" t="s">
        <v>368</v>
      </c>
    </row>
    <row r="11" spans="1:11" ht="53.4" customHeight="1" x14ac:dyDescent="0.25">
      <c r="A11" s="189">
        <v>7</v>
      </c>
      <c r="B11" s="50"/>
      <c r="C11" s="50" t="s">
        <v>249</v>
      </c>
      <c r="D11" s="84" t="s">
        <v>131</v>
      </c>
      <c r="E11" s="84" t="s">
        <v>128</v>
      </c>
      <c r="F11" s="85"/>
      <c r="G11" s="104"/>
      <c r="H11" s="191"/>
      <c r="I11" s="51"/>
      <c r="J11" s="103" t="s">
        <v>201</v>
      </c>
      <c r="K11" s="107" t="s">
        <v>368</v>
      </c>
    </row>
    <row r="12" spans="1:11" ht="39.6" x14ac:dyDescent="0.25">
      <c r="A12" s="189">
        <v>8</v>
      </c>
      <c r="B12" s="50"/>
      <c r="C12" s="50" t="s">
        <v>250</v>
      </c>
      <c r="D12" s="84" t="s">
        <v>132</v>
      </c>
      <c r="E12" s="86" t="s">
        <v>101</v>
      </c>
      <c r="F12" s="85"/>
      <c r="G12" s="104"/>
      <c r="H12" s="191"/>
      <c r="I12" s="51"/>
      <c r="J12" s="103" t="s">
        <v>202</v>
      </c>
      <c r="K12" s="107" t="s">
        <v>368</v>
      </c>
    </row>
    <row r="13" spans="1:11" ht="39.6" x14ac:dyDescent="0.25">
      <c r="A13" s="189">
        <v>9</v>
      </c>
      <c r="B13" s="50"/>
      <c r="C13" s="50" t="s">
        <v>251</v>
      </c>
      <c r="D13" s="84" t="s">
        <v>133</v>
      </c>
      <c r="E13" s="86" t="s">
        <v>103</v>
      </c>
      <c r="F13" s="85"/>
      <c r="G13" s="104"/>
      <c r="H13" s="191"/>
      <c r="I13" s="51"/>
      <c r="J13" s="103" t="s">
        <v>203</v>
      </c>
      <c r="K13" s="107" t="s">
        <v>368</v>
      </c>
    </row>
    <row r="14" spans="1:11" ht="88.2" customHeight="1" x14ac:dyDescent="0.25">
      <c r="A14" s="189">
        <v>10</v>
      </c>
      <c r="B14" s="50"/>
      <c r="C14" s="50" t="s">
        <v>249</v>
      </c>
      <c r="D14" s="81" t="s">
        <v>399</v>
      </c>
      <c r="E14" s="84" t="s">
        <v>407</v>
      </c>
      <c r="F14" s="85"/>
      <c r="G14" s="85"/>
      <c r="H14" s="191"/>
      <c r="I14" s="51"/>
      <c r="J14" s="103" t="s">
        <v>221</v>
      </c>
      <c r="K14" s="107"/>
    </row>
    <row r="15" spans="1:11" ht="88.2" customHeight="1" x14ac:dyDescent="0.25">
      <c r="A15" s="126">
        <v>11</v>
      </c>
      <c r="B15" s="127"/>
      <c r="C15" s="127" t="s">
        <v>253</v>
      </c>
      <c r="D15" s="128" t="s">
        <v>369</v>
      </c>
      <c r="E15" s="129" t="s">
        <v>360</v>
      </c>
      <c r="F15" s="130"/>
      <c r="G15" s="130"/>
      <c r="H15" s="131"/>
      <c r="I15" s="132"/>
      <c r="J15" s="103"/>
      <c r="K15" s="107"/>
    </row>
    <row r="16" spans="1:11" ht="26.4" x14ac:dyDescent="0.25">
      <c r="A16" s="189">
        <v>12</v>
      </c>
      <c r="B16" s="50"/>
      <c r="C16" s="50" t="s">
        <v>253</v>
      </c>
      <c r="D16" s="84" t="s">
        <v>100</v>
      </c>
      <c r="E16" s="87" t="s">
        <v>134</v>
      </c>
      <c r="F16" s="85"/>
      <c r="G16" s="85"/>
      <c r="H16" s="191"/>
      <c r="I16" s="51"/>
      <c r="J16" s="107"/>
      <c r="K16" s="107"/>
    </row>
    <row r="17" spans="1:11" ht="26.4" x14ac:dyDescent="0.25">
      <c r="A17" s="189">
        <v>13</v>
      </c>
      <c r="B17" s="50"/>
      <c r="C17" s="50" t="s">
        <v>254</v>
      </c>
      <c r="D17" s="84" t="s">
        <v>104</v>
      </c>
      <c r="E17" s="84" t="s">
        <v>102</v>
      </c>
      <c r="F17" s="85"/>
      <c r="G17" s="85"/>
      <c r="H17" s="191"/>
      <c r="I17" s="51"/>
      <c r="J17" s="107"/>
      <c r="K17" s="107"/>
    </row>
    <row r="18" spans="1:11" x14ac:dyDescent="0.25">
      <c r="A18" s="189">
        <v>14</v>
      </c>
      <c r="B18" s="50"/>
      <c r="C18" s="192" t="s">
        <v>359</v>
      </c>
      <c r="D18" s="81" t="s">
        <v>370</v>
      </c>
      <c r="E18" s="84" t="s">
        <v>371</v>
      </c>
      <c r="F18" s="85"/>
      <c r="G18" s="85"/>
      <c r="H18" s="191"/>
      <c r="I18" s="51"/>
      <c r="J18" s="107"/>
      <c r="K18" s="107"/>
    </row>
    <row r="19" spans="1:11" ht="26.4" x14ac:dyDescent="0.25">
      <c r="A19" s="189">
        <v>15</v>
      </c>
      <c r="B19" s="50"/>
      <c r="C19" s="192" t="s">
        <v>359</v>
      </c>
      <c r="D19" s="81" t="s">
        <v>397</v>
      </c>
      <c r="E19" s="84" t="s">
        <v>398</v>
      </c>
      <c r="F19" s="85"/>
      <c r="G19" s="104"/>
      <c r="H19" s="191"/>
      <c r="I19" s="51"/>
      <c r="J19" s="103" t="s">
        <v>222</v>
      </c>
      <c r="K19" s="107"/>
    </row>
    <row r="20" spans="1:11" x14ac:dyDescent="0.25">
      <c r="A20" s="165" t="s">
        <v>216</v>
      </c>
      <c r="B20" s="166"/>
      <c r="C20" s="166"/>
      <c r="D20" s="166"/>
      <c r="E20" s="166"/>
      <c r="F20" s="166"/>
      <c r="G20" s="166"/>
      <c r="H20" s="166"/>
      <c r="I20" s="167"/>
      <c r="J20" s="103"/>
      <c r="K20" s="107"/>
    </row>
    <row r="21" spans="1:11" ht="157.19999999999999" customHeight="1" x14ac:dyDescent="0.25">
      <c r="A21" s="189">
        <v>15</v>
      </c>
      <c r="B21" s="50"/>
      <c r="C21" s="50"/>
      <c r="D21" s="105" t="s">
        <v>135</v>
      </c>
      <c r="E21" s="105" t="s">
        <v>136</v>
      </c>
      <c r="F21" s="85"/>
      <c r="G21" s="104"/>
      <c r="H21" s="85"/>
      <c r="I21" s="51"/>
      <c r="J21" s="107"/>
      <c r="K21" s="107"/>
    </row>
    <row r="22" spans="1:11" ht="116.4" customHeight="1" x14ac:dyDescent="0.25">
      <c r="A22" s="189">
        <v>16</v>
      </c>
      <c r="B22" s="50"/>
      <c r="C22" s="50" t="s">
        <v>252</v>
      </c>
      <c r="D22" s="84" t="s">
        <v>137</v>
      </c>
      <c r="E22" s="84" t="s">
        <v>138</v>
      </c>
      <c r="F22" s="85"/>
      <c r="G22" s="104"/>
      <c r="H22" s="85"/>
      <c r="I22" s="51"/>
      <c r="J22" s="103" t="s">
        <v>205</v>
      </c>
      <c r="K22" s="107"/>
    </row>
    <row r="23" spans="1:11" ht="84.6" customHeight="1" x14ac:dyDescent="0.25">
      <c r="A23" s="189">
        <v>17</v>
      </c>
      <c r="B23" s="50"/>
      <c r="C23" s="50" t="s">
        <v>373</v>
      </c>
      <c r="D23" s="84" t="s">
        <v>139</v>
      </c>
      <c r="E23" s="84" t="s">
        <v>372</v>
      </c>
      <c r="F23" s="85"/>
      <c r="G23" s="104"/>
      <c r="H23" s="85"/>
      <c r="I23" s="51"/>
      <c r="J23" s="103" t="s">
        <v>206</v>
      </c>
      <c r="K23" s="107"/>
    </row>
    <row r="24" spans="1:11" ht="93.6" customHeight="1" x14ac:dyDescent="0.25">
      <c r="A24" s="189">
        <v>18</v>
      </c>
      <c r="B24" s="50"/>
      <c r="C24" s="50" t="s">
        <v>374</v>
      </c>
      <c r="D24" s="84" t="s">
        <v>375</v>
      </c>
      <c r="E24" s="84" t="s">
        <v>376</v>
      </c>
      <c r="F24" s="85"/>
      <c r="G24" s="104"/>
      <c r="H24" s="85"/>
      <c r="I24" s="51"/>
      <c r="J24" s="103" t="s">
        <v>227</v>
      </c>
      <c r="K24" s="107"/>
    </row>
    <row r="25" spans="1:11" ht="93.6" customHeight="1" x14ac:dyDescent="0.25">
      <c r="A25" s="189">
        <v>19</v>
      </c>
      <c r="B25" s="50"/>
      <c r="C25" s="50" t="s">
        <v>374</v>
      </c>
      <c r="D25" s="81" t="s">
        <v>394</v>
      </c>
      <c r="E25" s="84" t="s">
        <v>391</v>
      </c>
      <c r="F25" s="85"/>
      <c r="G25" s="104"/>
      <c r="H25" s="85"/>
      <c r="I25" s="51"/>
      <c r="J25" s="103"/>
      <c r="K25" s="107"/>
    </row>
    <row r="26" spans="1:11" x14ac:dyDescent="0.25">
      <c r="A26" s="171" t="s">
        <v>218</v>
      </c>
      <c r="B26" s="172"/>
      <c r="C26" s="172"/>
      <c r="D26" s="172"/>
      <c r="E26" s="172"/>
      <c r="F26" s="172"/>
      <c r="G26" s="172"/>
      <c r="H26" s="172"/>
      <c r="I26" s="173"/>
      <c r="J26" s="107"/>
      <c r="K26" s="107"/>
    </row>
    <row r="27" spans="1:11" ht="199.8" customHeight="1" x14ac:dyDescent="0.25">
      <c r="A27" s="189">
        <v>19</v>
      </c>
      <c r="B27" s="50"/>
      <c r="C27" s="50"/>
      <c r="D27" s="105" t="s">
        <v>140</v>
      </c>
      <c r="E27" s="105" t="s">
        <v>400</v>
      </c>
      <c r="F27" s="85"/>
      <c r="G27" s="85"/>
      <c r="H27" s="85"/>
      <c r="I27" s="51"/>
      <c r="J27" s="103" t="s">
        <v>255</v>
      </c>
      <c r="K27" s="107"/>
    </row>
    <row r="28" spans="1:11" ht="204.6" customHeight="1" x14ac:dyDescent="0.25">
      <c r="A28" s="189">
        <v>20</v>
      </c>
      <c r="B28" s="50"/>
      <c r="C28" s="50" t="s">
        <v>256</v>
      </c>
      <c r="D28" s="84" t="s">
        <v>141</v>
      </c>
      <c r="E28" s="84" t="s">
        <v>408</v>
      </c>
      <c r="F28" s="85"/>
      <c r="G28" s="85"/>
      <c r="H28" s="85"/>
      <c r="I28" s="51"/>
      <c r="J28" s="103" t="s">
        <v>207</v>
      </c>
      <c r="K28" s="107"/>
    </row>
    <row r="29" spans="1:11" ht="86.4" customHeight="1" x14ac:dyDescent="0.25">
      <c r="A29" s="189">
        <v>21</v>
      </c>
      <c r="B29" s="50"/>
      <c r="C29" s="50" t="s">
        <v>256</v>
      </c>
      <c r="D29" s="80" t="s">
        <v>142</v>
      </c>
      <c r="E29" s="80" t="s">
        <v>143</v>
      </c>
      <c r="F29" s="85"/>
      <c r="G29" s="85"/>
      <c r="H29" s="85"/>
      <c r="I29" s="51"/>
      <c r="J29" s="103" t="s">
        <v>207</v>
      </c>
      <c r="K29" s="107"/>
    </row>
    <row r="30" spans="1:11" ht="70.95" customHeight="1" x14ac:dyDescent="0.25">
      <c r="A30" s="189">
        <v>20</v>
      </c>
      <c r="B30" s="50"/>
      <c r="C30" s="50" t="s">
        <v>257</v>
      </c>
      <c r="D30" s="84" t="s">
        <v>144</v>
      </c>
      <c r="E30" s="84" t="s">
        <v>145</v>
      </c>
      <c r="F30" s="85"/>
      <c r="G30" s="85"/>
      <c r="H30" s="85"/>
      <c r="I30" s="51"/>
      <c r="J30" s="103" t="s">
        <v>258</v>
      </c>
      <c r="K30" s="107"/>
    </row>
    <row r="31" spans="1:11" ht="109.95" customHeight="1" x14ac:dyDescent="0.25">
      <c r="A31" s="189">
        <v>21</v>
      </c>
      <c r="B31" s="50"/>
      <c r="C31" s="50" t="s">
        <v>259</v>
      </c>
      <c r="D31" s="84" t="s">
        <v>377</v>
      </c>
      <c r="E31" s="84" t="s">
        <v>378</v>
      </c>
      <c r="F31" s="85"/>
      <c r="G31" s="85"/>
      <c r="H31" s="85"/>
      <c r="I31" s="51"/>
      <c r="J31" s="103" t="s">
        <v>228</v>
      </c>
      <c r="K31" s="107"/>
    </row>
    <row r="32" spans="1:11" ht="135" customHeight="1" x14ac:dyDescent="0.25">
      <c r="A32" s="189">
        <v>22</v>
      </c>
      <c r="B32" s="50"/>
      <c r="C32" s="50" t="s">
        <v>257</v>
      </c>
      <c r="D32" s="76" t="s">
        <v>146</v>
      </c>
      <c r="E32" s="84" t="s">
        <v>147</v>
      </c>
      <c r="F32" s="85"/>
      <c r="G32" s="85"/>
      <c r="H32" s="85"/>
      <c r="I32" s="51"/>
      <c r="J32" s="103" t="s">
        <v>258</v>
      </c>
      <c r="K32" s="107"/>
    </row>
    <row r="33" spans="1:11" ht="66" x14ac:dyDescent="0.25">
      <c r="A33" s="189">
        <v>23</v>
      </c>
      <c r="B33" s="50"/>
      <c r="C33" s="50" t="s">
        <v>260</v>
      </c>
      <c r="D33" s="51" t="s">
        <v>148</v>
      </c>
      <c r="E33" s="51" t="s">
        <v>149</v>
      </c>
      <c r="F33" s="85"/>
      <c r="G33" s="104"/>
      <c r="H33" s="85"/>
      <c r="I33" s="51"/>
      <c r="J33" s="103"/>
      <c r="K33" s="107"/>
    </row>
    <row r="34" spans="1:11" ht="66" x14ac:dyDescent="0.25">
      <c r="A34" s="189">
        <v>23</v>
      </c>
      <c r="B34" s="50"/>
      <c r="C34" s="50" t="s">
        <v>260</v>
      </c>
      <c r="D34" s="51" t="s">
        <v>148</v>
      </c>
      <c r="E34" s="51" t="s">
        <v>149</v>
      </c>
      <c r="F34" s="133"/>
      <c r="G34" s="134"/>
      <c r="H34" s="133"/>
      <c r="I34" s="135"/>
      <c r="J34" s="103"/>
      <c r="K34" s="107"/>
    </row>
    <row r="35" spans="1:11" x14ac:dyDescent="0.25">
      <c r="A35" s="168" t="s">
        <v>217</v>
      </c>
      <c r="B35" s="169"/>
      <c r="C35" s="169"/>
      <c r="D35" s="169"/>
      <c r="E35" s="169"/>
      <c r="F35" s="169"/>
      <c r="G35" s="169"/>
      <c r="H35" s="169"/>
      <c r="I35" s="170"/>
      <c r="J35" s="107"/>
      <c r="K35" s="107"/>
    </row>
    <row r="36" spans="1:11" ht="171.6" x14ac:dyDescent="0.25">
      <c r="A36" s="189">
        <v>24</v>
      </c>
      <c r="B36" s="50"/>
      <c r="C36" s="50"/>
      <c r="D36" s="105" t="s">
        <v>150</v>
      </c>
      <c r="E36" s="105" t="s">
        <v>151</v>
      </c>
      <c r="F36" s="85"/>
      <c r="G36" s="104"/>
      <c r="H36" s="85"/>
      <c r="I36" s="51"/>
      <c r="J36" s="103"/>
      <c r="K36" s="107"/>
    </row>
    <row r="37" spans="1:11" ht="171.6" x14ac:dyDescent="0.25">
      <c r="A37" s="189">
        <v>25</v>
      </c>
      <c r="B37" s="50"/>
      <c r="C37" s="50" t="s">
        <v>261</v>
      </c>
      <c r="D37" s="84" t="s">
        <v>152</v>
      </c>
      <c r="E37" s="84" t="s">
        <v>153</v>
      </c>
      <c r="F37" s="85"/>
      <c r="G37" s="104"/>
      <c r="H37" s="85"/>
      <c r="I37" s="51"/>
      <c r="J37" s="103" t="s">
        <v>223</v>
      </c>
      <c r="K37" s="107"/>
    </row>
    <row r="38" spans="1:11" ht="39.6" x14ac:dyDescent="0.25">
      <c r="A38" s="189">
        <v>26</v>
      </c>
      <c r="B38" s="50"/>
      <c r="C38" s="50" t="s">
        <v>262</v>
      </c>
      <c r="D38" s="84" t="s">
        <v>154</v>
      </c>
      <c r="E38" s="84" t="s">
        <v>155</v>
      </c>
      <c r="F38" s="85"/>
      <c r="G38" s="104"/>
      <c r="H38" s="85"/>
      <c r="I38" s="51"/>
      <c r="J38" s="103" t="s">
        <v>209</v>
      </c>
      <c r="K38" s="107"/>
    </row>
    <row r="39" spans="1:11" ht="39.6" x14ac:dyDescent="0.25">
      <c r="A39" s="189">
        <v>27</v>
      </c>
      <c r="B39" s="50"/>
      <c r="C39" s="50" t="s">
        <v>263</v>
      </c>
      <c r="D39" s="84" t="s">
        <v>156</v>
      </c>
      <c r="E39" s="86" t="s">
        <v>101</v>
      </c>
      <c r="F39" s="85"/>
      <c r="G39" s="104"/>
      <c r="H39" s="85"/>
      <c r="I39" s="51"/>
      <c r="J39" s="103" t="s">
        <v>210</v>
      </c>
      <c r="K39" s="107"/>
    </row>
    <row r="40" spans="1:11" ht="39.6" x14ac:dyDescent="0.25">
      <c r="A40" s="189">
        <v>28</v>
      </c>
      <c r="B40" s="50"/>
      <c r="C40" s="50" t="s">
        <v>264</v>
      </c>
      <c r="D40" s="84" t="s">
        <v>157</v>
      </c>
      <c r="E40" s="86" t="s">
        <v>105</v>
      </c>
      <c r="F40" s="85"/>
      <c r="G40" s="85"/>
      <c r="H40" s="85"/>
      <c r="I40" s="51"/>
      <c r="J40" s="103" t="s">
        <v>211</v>
      </c>
      <c r="K40" s="107"/>
    </row>
    <row r="41" spans="1:11" ht="38.25" customHeight="1" x14ac:dyDescent="0.25">
      <c r="A41" s="189">
        <v>29</v>
      </c>
      <c r="B41" s="50"/>
      <c r="C41" s="50" t="s">
        <v>265</v>
      </c>
      <c r="D41" s="81" t="s">
        <v>158</v>
      </c>
      <c r="E41" s="84" t="s">
        <v>159</v>
      </c>
      <c r="F41" s="85"/>
      <c r="G41" s="85"/>
      <c r="H41" s="85"/>
      <c r="I41" s="51"/>
      <c r="J41" s="103" t="s">
        <v>212</v>
      </c>
      <c r="K41" s="107"/>
    </row>
    <row r="42" spans="1:11" ht="26.4" x14ac:dyDescent="0.25">
      <c r="A42" s="189">
        <v>30</v>
      </c>
      <c r="B42" s="50"/>
      <c r="C42" s="50" t="s">
        <v>266</v>
      </c>
      <c r="D42" s="84" t="s">
        <v>106</v>
      </c>
      <c r="E42" s="87" t="s">
        <v>134</v>
      </c>
      <c r="F42" s="85"/>
      <c r="G42" s="85"/>
      <c r="H42" s="85"/>
      <c r="I42" s="51"/>
      <c r="J42" s="103" t="s">
        <v>224</v>
      </c>
      <c r="K42" s="107"/>
    </row>
    <row r="43" spans="1:11" ht="26.4" x14ac:dyDescent="0.25">
      <c r="A43" s="189">
        <v>31</v>
      </c>
      <c r="B43" s="50"/>
      <c r="C43" s="50" t="s">
        <v>267</v>
      </c>
      <c r="D43" s="84" t="s">
        <v>107</v>
      </c>
      <c r="E43" s="84" t="s">
        <v>102</v>
      </c>
      <c r="F43" s="85"/>
      <c r="G43" s="85"/>
      <c r="H43" s="191"/>
      <c r="I43" s="51"/>
      <c r="J43" s="103" t="s">
        <v>213</v>
      </c>
      <c r="K43" s="107"/>
    </row>
    <row r="44" spans="1:11" ht="61.8" customHeight="1" x14ac:dyDescent="0.25">
      <c r="A44" s="189">
        <v>32</v>
      </c>
      <c r="B44" s="50"/>
      <c r="C44" s="50" t="s">
        <v>268</v>
      </c>
      <c r="D44" s="84" t="s">
        <v>160</v>
      </c>
      <c r="E44" s="84" t="s">
        <v>161</v>
      </c>
      <c r="F44" s="85"/>
      <c r="G44" s="85"/>
      <c r="H44" s="85"/>
      <c r="I44" s="51"/>
      <c r="J44" s="103" t="s">
        <v>208</v>
      </c>
      <c r="K44" s="107"/>
    </row>
    <row r="45" spans="1:11" ht="118.8" x14ac:dyDescent="0.25">
      <c r="A45" s="189">
        <v>33</v>
      </c>
      <c r="B45" s="50"/>
      <c r="C45" s="50" t="s">
        <v>269</v>
      </c>
      <c r="D45" s="84" t="s">
        <v>381</v>
      </c>
      <c r="E45" s="84" t="s">
        <v>382</v>
      </c>
      <c r="F45" s="85"/>
      <c r="G45" s="85"/>
      <c r="H45" s="85"/>
      <c r="I45" s="51"/>
      <c r="J45" s="103" t="s">
        <v>229</v>
      </c>
      <c r="K45" s="107"/>
    </row>
    <row r="46" spans="1:11" x14ac:dyDescent="0.25">
      <c r="A46" s="174" t="s">
        <v>219</v>
      </c>
      <c r="B46" s="175"/>
      <c r="C46" s="175"/>
      <c r="D46" s="175"/>
      <c r="E46" s="175"/>
      <c r="F46" s="175"/>
      <c r="G46" s="175"/>
      <c r="H46" s="175"/>
      <c r="I46" s="176"/>
      <c r="J46" s="107"/>
      <c r="K46" s="107"/>
    </row>
    <row r="47" spans="1:11" ht="409.6" customHeight="1" x14ac:dyDescent="0.25">
      <c r="A47" s="189">
        <v>35</v>
      </c>
      <c r="B47" s="50"/>
      <c r="C47" s="50"/>
      <c r="D47" s="105" t="s">
        <v>162</v>
      </c>
      <c r="E47" s="105" t="s">
        <v>404</v>
      </c>
      <c r="F47" s="85"/>
      <c r="G47" s="85"/>
      <c r="H47" s="85"/>
      <c r="I47" s="51"/>
      <c r="J47" s="103" t="s">
        <v>225</v>
      </c>
      <c r="K47" s="107"/>
    </row>
    <row r="48" spans="1:11" ht="82.8" customHeight="1" x14ac:dyDescent="0.25">
      <c r="A48" s="189">
        <v>36</v>
      </c>
      <c r="B48" s="50"/>
      <c r="C48" s="50" t="s">
        <v>270</v>
      </c>
      <c r="D48" s="84" t="s">
        <v>163</v>
      </c>
      <c r="E48" s="84" t="s">
        <v>108</v>
      </c>
      <c r="F48" s="85"/>
      <c r="G48" s="85"/>
      <c r="H48" s="85"/>
      <c r="I48" s="51"/>
      <c r="J48" s="103" t="s">
        <v>226</v>
      </c>
      <c r="K48" s="107"/>
    </row>
    <row r="49" spans="1:11" ht="79.2" x14ac:dyDescent="0.25">
      <c r="A49" s="189">
        <v>37</v>
      </c>
      <c r="B49" s="50"/>
      <c r="C49" s="50" t="s">
        <v>271</v>
      </c>
      <c r="D49" s="84" t="s">
        <v>379</v>
      </c>
      <c r="E49" s="84" t="s">
        <v>380</v>
      </c>
      <c r="F49" s="85"/>
      <c r="G49" s="85"/>
      <c r="H49" s="85"/>
      <c r="I49" s="51"/>
      <c r="J49" s="103" t="s">
        <v>230</v>
      </c>
      <c r="K49" s="107"/>
    </row>
    <row r="50" spans="1:11" ht="277.2" x14ac:dyDescent="0.25">
      <c r="A50" s="189">
        <v>38</v>
      </c>
      <c r="B50" s="50"/>
      <c r="C50" s="50" t="s">
        <v>271</v>
      </c>
      <c r="D50" s="79" t="s">
        <v>164</v>
      </c>
      <c r="E50" s="79" t="s">
        <v>392</v>
      </c>
      <c r="F50" s="85"/>
      <c r="G50" s="85"/>
      <c r="H50" s="85"/>
      <c r="I50" s="51"/>
      <c r="J50" s="103" t="s">
        <v>323</v>
      </c>
      <c r="K50" s="107" t="s">
        <v>383</v>
      </c>
    </row>
    <row r="51" spans="1:11" ht="79.2" x14ac:dyDescent="0.25">
      <c r="A51" s="189">
        <v>39</v>
      </c>
      <c r="B51" s="50"/>
      <c r="C51" s="50" t="s">
        <v>272</v>
      </c>
      <c r="D51" s="78" t="s">
        <v>109</v>
      </c>
      <c r="E51" s="78" t="s">
        <v>273</v>
      </c>
      <c r="F51" s="85"/>
      <c r="G51" s="85"/>
      <c r="H51" s="85"/>
      <c r="I51" s="51"/>
      <c r="J51" s="107"/>
      <c r="K51" s="107"/>
    </row>
    <row r="52" spans="1:11" ht="171.6" x14ac:dyDescent="0.25">
      <c r="A52" s="189">
        <v>40</v>
      </c>
      <c r="B52" s="50"/>
      <c r="C52" s="50" t="s">
        <v>272</v>
      </c>
      <c r="D52" s="78" t="s">
        <v>110</v>
      </c>
      <c r="E52" s="78" t="s">
        <v>384</v>
      </c>
      <c r="F52" s="85"/>
      <c r="G52" s="85"/>
      <c r="H52" s="85"/>
      <c r="I52" s="51"/>
      <c r="J52" s="103" t="s">
        <v>324</v>
      </c>
      <c r="K52" s="107"/>
    </row>
    <row r="53" spans="1:11" ht="118.8" x14ac:dyDescent="0.25">
      <c r="A53" s="189">
        <v>41</v>
      </c>
      <c r="B53" s="50"/>
      <c r="C53" s="50" t="s">
        <v>325</v>
      </c>
      <c r="D53" s="78" t="s">
        <v>165</v>
      </c>
      <c r="E53" s="78" t="s">
        <v>385</v>
      </c>
      <c r="F53" s="85"/>
      <c r="G53" s="85"/>
      <c r="H53" s="85"/>
      <c r="I53" s="51"/>
      <c r="J53" s="103" t="s">
        <v>324</v>
      </c>
      <c r="K53" s="107"/>
    </row>
    <row r="54" spans="1:11" ht="26.4" x14ac:dyDescent="0.25">
      <c r="A54" s="189">
        <v>42</v>
      </c>
      <c r="B54" s="50"/>
      <c r="C54" s="50" t="s">
        <v>331</v>
      </c>
      <c r="D54" s="78" t="s">
        <v>111</v>
      </c>
      <c r="E54" s="75" t="s">
        <v>126</v>
      </c>
      <c r="F54" s="85"/>
      <c r="G54" s="85"/>
      <c r="H54" s="193"/>
      <c r="I54" s="51"/>
      <c r="J54" s="107"/>
      <c r="K54" s="107"/>
    </row>
    <row r="55" spans="1:11" ht="58.2" customHeight="1" x14ac:dyDescent="0.25">
      <c r="A55" s="189">
        <v>43</v>
      </c>
      <c r="B55" s="50"/>
      <c r="C55" s="50" t="s">
        <v>325</v>
      </c>
      <c r="D55" s="79" t="s">
        <v>334</v>
      </c>
      <c r="E55" s="88" t="s">
        <v>124</v>
      </c>
      <c r="F55" s="85"/>
      <c r="G55" s="85"/>
      <c r="H55" s="85"/>
      <c r="I55" s="51"/>
      <c r="J55" s="107"/>
      <c r="K55" s="107"/>
    </row>
    <row r="56" spans="1:11" ht="95.4" customHeight="1" x14ac:dyDescent="0.25">
      <c r="A56" s="189">
        <v>44</v>
      </c>
      <c r="B56" s="50"/>
      <c r="C56" s="50"/>
      <c r="D56" s="79" t="s">
        <v>333</v>
      </c>
      <c r="E56" s="78" t="s">
        <v>403</v>
      </c>
      <c r="F56" s="85"/>
      <c r="G56" s="85"/>
      <c r="H56" s="85"/>
      <c r="I56" s="51"/>
      <c r="J56" s="107"/>
      <c r="K56" s="107"/>
    </row>
    <row r="57" spans="1:11" ht="79.2" x14ac:dyDescent="0.25">
      <c r="A57" s="189">
        <v>45</v>
      </c>
      <c r="B57" s="50"/>
      <c r="C57" s="50" t="s">
        <v>332</v>
      </c>
      <c r="D57" s="78" t="s">
        <v>166</v>
      </c>
      <c r="E57" s="75" t="s">
        <v>167</v>
      </c>
      <c r="F57" s="85"/>
      <c r="G57" s="104"/>
      <c r="H57" s="85"/>
      <c r="I57" s="51"/>
      <c r="J57" s="107"/>
      <c r="K57" s="107"/>
    </row>
    <row r="58" spans="1:11" ht="92.4" x14ac:dyDescent="0.25">
      <c r="A58" s="189">
        <v>46</v>
      </c>
      <c r="B58" s="50"/>
      <c r="C58" s="50" t="s">
        <v>335</v>
      </c>
      <c r="D58" s="79" t="s">
        <v>169</v>
      </c>
      <c r="E58" s="75" t="s">
        <v>168</v>
      </c>
      <c r="F58" s="85"/>
      <c r="G58" s="104"/>
      <c r="H58" s="85"/>
      <c r="I58" s="51"/>
      <c r="J58" s="107"/>
      <c r="K58" s="107"/>
    </row>
    <row r="59" spans="1:11" ht="39.6" x14ac:dyDescent="0.25">
      <c r="A59" s="189">
        <v>47</v>
      </c>
      <c r="B59" s="50"/>
      <c r="C59" s="50" t="s">
        <v>336</v>
      </c>
      <c r="D59" s="78" t="s">
        <v>112</v>
      </c>
      <c r="E59" s="78" t="s">
        <v>125</v>
      </c>
      <c r="F59" s="85"/>
      <c r="G59" s="85"/>
      <c r="H59" s="194"/>
      <c r="I59" s="72"/>
      <c r="J59" s="107"/>
      <c r="K59" s="107"/>
    </row>
    <row r="60" spans="1:11" ht="132" x14ac:dyDescent="0.25">
      <c r="A60" s="189">
        <v>48</v>
      </c>
      <c r="B60" s="50"/>
      <c r="C60" s="50"/>
      <c r="D60" s="84" t="s">
        <v>337</v>
      </c>
      <c r="E60" s="78" t="s">
        <v>170</v>
      </c>
      <c r="F60" s="85"/>
      <c r="G60" s="85"/>
      <c r="H60" s="85"/>
      <c r="I60" s="51"/>
      <c r="J60" s="103"/>
      <c r="K60" s="107"/>
    </row>
    <row r="61" spans="1:11" ht="39.6" x14ac:dyDescent="0.25">
      <c r="A61" s="189">
        <v>49</v>
      </c>
      <c r="B61" s="50"/>
      <c r="C61" s="50" t="s">
        <v>338</v>
      </c>
      <c r="D61" s="78" t="s">
        <v>113</v>
      </c>
      <c r="E61" s="78" t="s">
        <v>114</v>
      </c>
      <c r="F61" s="85"/>
      <c r="G61" s="85"/>
      <c r="H61" s="85"/>
      <c r="I61" s="51"/>
      <c r="J61" s="107"/>
      <c r="K61" s="107"/>
    </row>
    <row r="62" spans="1:11" ht="52.8" x14ac:dyDescent="0.25">
      <c r="A62" s="189">
        <v>50</v>
      </c>
      <c r="B62" s="50"/>
      <c r="C62" s="50" t="s">
        <v>339</v>
      </c>
      <c r="D62" s="195" t="s">
        <v>171</v>
      </c>
      <c r="E62" s="195" t="s">
        <v>115</v>
      </c>
      <c r="F62" s="85"/>
      <c r="G62" s="85"/>
      <c r="H62" s="85"/>
      <c r="I62" s="51"/>
      <c r="J62" s="107"/>
      <c r="K62" s="107"/>
    </row>
    <row r="63" spans="1:11" ht="39.6" x14ac:dyDescent="0.25">
      <c r="A63" s="189">
        <v>51</v>
      </c>
      <c r="B63" s="50"/>
      <c r="C63" s="50" t="s">
        <v>340</v>
      </c>
      <c r="D63" s="77" t="s">
        <v>172</v>
      </c>
      <c r="E63" s="78" t="s">
        <v>173</v>
      </c>
      <c r="F63" s="85"/>
      <c r="G63" s="85"/>
      <c r="H63" s="85"/>
      <c r="I63" s="51"/>
      <c r="J63" s="107"/>
      <c r="K63" s="107"/>
    </row>
    <row r="64" spans="1:11" ht="79.2" x14ac:dyDescent="0.25">
      <c r="A64" s="189">
        <v>52</v>
      </c>
      <c r="B64" s="50"/>
      <c r="C64" s="50"/>
      <c r="D64" s="76" t="s">
        <v>341</v>
      </c>
      <c r="E64" s="76" t="s">
        <v>174</v>
      </c>
      <c r="F64" s="85"/>
      <c r="G64" s="85"/>
      <c r="H64" s="85"/>
      <c r="I64" s="51"/>
      <c r="J64" s="107"/>
      <c r="K64" s="107"/>
    </row>
    <row r="65" spans="1:11" x14ac:dyDescent="0.25">
      <c r="A65" s="189">
        <v>53</v>
      </c>
      <c r="B65" s="50"/>
      <c r="C65" s="50" t="s">
        <v>342</v>
      </c>
      <c r="D65" s="78" t="s">
        <v>116</v>
      </c>
      <c r="E65" s="78" t="s">
        <v>121</v>
      </c>
      <c r="F65" s="85"/>
      <c r="G65" s="85"/>
      <c r="H65" s="191"/>
      <c r="I65" s="72"/>
      <c r="J65" s="107"/>
      <c r="K65" s="107"/>
    </row>
    <row r="66" spans="1:11" ht="92.4" x14ac:dyDescent="0.25">
      <c r="A66" s="189">
        <v>54</v>
      </c>
      <c r="B66" s="50"/>
      <c r="C66" s="50"/>
      <c r="D66" s="78" t="s">
        <v>386</v>
      </c>
      <c r="E66" s="75" t="s">
        <v>120</v>
      </c>
      <c r="F66" s="85"/>
      <c r="G66" s="85"/>
      <c r="H66" s="191"/>
      <c r="I66" s="72"/>
      <c r="J66" s="103" t="s">
        <v>343</v>
      </c>
      <c r="K66" s="107"/>
    </row>
    <row r="67" spans="1:11" x14ac:dyDescent="0.25">
      <c r="A67" s="159" t="s">
        <v>220</v>
      </c>
      <c r="B67" s="160"/>
      <c r="C67" s="160"/>
      <c r="D67" s="160"/>
      <c r="E67" s="160"/>
      <c r="F67" s="160"/>
      <c r="G67" s="160"/>
      <c r="H67" s="160"/>
      <c r="I67" s="161"/>
      <c r="J67" s="107"/>
      <c r="K67" s="107"/>
    </row>
    <row r="68" spans="1:11" ht="224.4" x14ac:dyDescent="0.25">
      <c r="A68" s="189">
        <v>55</v>
      </c>
      <c r="B68" s="50"/>
      <c r="C68" s="50"/>
      <c r="D68" s="105" t="s">
        <v>175</v>
      </c>
      <c r="E68" s="196" t="s">
        <v>409</v>
      </c>
      <c r="F68" s="85"/>
      <c r="G68" s="85"/>
      <c r="H68" s="51"/>
      <c r="I68" s="72"/>
      <c r="J68" s="107"/>
      <c r="K68" s="107"/>
    </row>
    <row r="69" spans="1:11" ht="26.4" x14ac:dyDescent="0.25">
      <c r="A69" s="189">
        <v>56</v>
      </c>
      <c r="B69" s="50"/>
      <c r="C69" s="50"/>
      <c r="D69" s="88" t="s">
        <v>117</v>
      </c>
      <c r="E69" s="51" t="s">
        <v>123</v>
      </c>
      <c r="F69" s="85"/>
      <c r="G69" s="85"/>
      <c r="H69" s="85"/>
      <c r="I69" s="51"/>
      <c r="J69" s="107"/>
      <c r="K69" s="107"/>
    </row>
    <row r="70" spans="1:11" ht="145.19999999999999" x14ac:dyDescent="0.25">
      <c r="A70" s="189">
        <v>57</v>
      </c>
      <c r="B70" s="50"/>
      <c r="C70" s="50"/>
      <c r="D70" s="88" t="s">
        <v>176</v>
      </c>
      <c r="E70" s="51" t="s">
        <v>177</v>
      </c>
      <c r="F70" s="85"/>
      <c r="G70" s="104"/>
      <c r="H70" s="85"/>
      <c r="I70" s="51"/>
      <c r="J70" s="107"/>
      <c r="K70" s="107"/>
    </row>
    <row r="71" spans="1:11" ht="105.6" x14ac:dyDescent="0.25">
      <c r="A71" s="189">
        <v>58</v>
      </c>
      <c r="B71" s="50"/>
      <c r="C71" s="50"/>
      <c r="D71" s="88" t="s">
        <v>178</v>
      </c>
      <c r="E71" s="51" t="s">
        <v>179</v>
      </c>
      <c r="F71" s="85"/>
      <c r="G71" s="104"/>
      <c r="H71" s="85"/>
      <c r="I71" s="51"/>
      <c r="J71" s="107"/>
      <c r="K71" s="107"/>
    </row>
    <row r="72" spans="1:11" ht="51" customHeight="1" x14ac:dyDescent="0.25">
      <c r="A72" s="189">
        <v>59</v>
      </c>
      <c r="B72" s="50"/>
      <c r="C72" s="50"/>
      <c r="D72" s="88" t="s">
        <v>402</v>
      </c>
      <c r="E72" s="51" t="s">
        <v>118</v>
      </c>
      <c r="F72" s="85"/>
      <c r="G72" s="104"/>
      <c r="H72" s="85"/>
      <c r="I72" s="51"/>
      <c r="J72" s="107"/>
      <c r="K72" s="107"/>
    </row>
    <row r="73" spans="1:11" ht="39.6" x14ac:dyDescent="0.25">
      <c r="A73" s="189">
        <v>60</v>
      </c>
      <c r="B73" s="50"/>
      <c r="C73" s="50"/>
      <c r="D73" s="88" t="s">
        <v>180</v>
      </c>
      <c r="E73" s="51" t="s">
        <v>401</v>
      </c>
      <c r="F73" s="85"/>
      <c r="G73" s="85"/>
      <c r="H73" s="85"/>
      <c r="I73" s="51"/>
      <c r="J73" s="107"/>
      <c r="K73" s="107"/>
    </row>
    <row r="74" spans="1:11" ht="60.6" customHeight="1" x14ac:dyDescent="0.25">
      <c r="A74" s="189">
        <v>61</v>
      </c>
      <c r="B74" s="50"/>
      <c r="C74" s="50"/>
      <c r="D74" s="88" t="s">
        <v>410</v>
      </c>
      <c r="E74" s="51" t="s">
        <v>393</v>
      </c>
      <c r="F74" s="85"/>
      <c r="G74" s="85"/>
      <c r="H74" s="85"/>
      <c r="I74" s="51"/>
      <c r="J74" s="107"/>
      <c r="K74" s="107"/>
    </row>
    <row r="75" spans="1:11" ht="26.4" x14ac:dyDescent="0.25">
      <c r="A75" s="189">
        <v>62</v>
      </c>
      <c r="B75" s="50"/>
      <c r="C75" s="50"/>
      <c r="D75" s="88" t="s">
        <v>119</v>
      </c>
      <c r="E75" s="90" t="s">
        <v>122</v>
      </c>
      <c r="F75" s="85"/>
      <c r="G75" s="85"/>
      <c r="H75" s="85"/>
      <c r="I75" s="51"/>
      <c r="J75" s="107"/>
      <c r="K75" s="107"/>
    </row>
    <row r="76" spans="1:11" ht="26.4" x14ac:dyDescent="0.25">
      <c r="A76" s="189">
        <v>63</v>
      </c>
      <c r="B76" s="50"/>
      <c r="C76" s="192"/>
      <c r="D76" s="89" t="s">
        <v>181</v>
      </c>
      <c r="E76" s="51" t="s">
        <v>182</v>
      </c>
      <c r="F76" s="85"/>
      <c r="G76" s="85"/>
      <c r="H76" s="85"/>
      <c r="I76" s="51"/>
      <c r="J76" s="107"/>
      <c r="K76" s="107"/>
    </row>
  </sheetData>
  <customSheetViews>
    <customSheetView guid="{31213FDE-1FC4-4753-AB26-CBCE91AA62C1}" scale="91" fitToPage="1">
      <selection activeCell="C535" sqref="A3:G580"/>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 guid="{EFFDA75A-10D8-45FA-B94E-D29847D61BE9}" scale="80" fitToPage="1" topLeftCell="A70">
      <selection activeCell="F74" sqref="F74"/>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s>
  <mergeCells count="7">
    <mergeCell ref="A67:I67"/>
    <mergeCell ref="A3:I3"/>
    <mergeCell ref="A8:I8"/>
    <mergeCell ref="A20:I20"/>
    <mergeCell ref="A35:I35"/>
    <mergeCell ref="A26:I26"/>
    <mergeCell ref="A46:I46"/>
  </mergeCells>
  <conditionalFormatting sqref="G70:I70 H41:I42 H51:I54 H56:I58 H60:I64 I65:I66 H68:I69 H71:I76 H44:I45 H33:I34 H36:I39 H47:I49">
    <cfRule type="cellIs" dxfId="149" priority="1393" stopIfTrue="1" operator="equal">
      <formula>"failed"</formula>
    </cfRule>
    <cfRule type="cellIs" dxfId="148" priority="1394" stopIfTrue="1" operator="equal">
      <formula>"passed"</formula>
    </cfRule>
  </conditionalFormatting>
  <conditionalFormatting sqref="F4:I4 F21:I21 F9:G9 I43 F14:G15 F5:G5 H6:I7 F6:F7 F36 F10:F13 F22:F24 H22:I24 F27:I32 F16:F18 I10:I18">
    <cfRule type="cellIs" dxfId="147" priority="1391" stopIfTrue="1" operator="equal">
      <formula>"failed"</formula>
    </cfRule>
    <cfRule type="cellIs" dxfId="146" priority="1392" stopIfTrue="1" operator="equal">
      <formula>"passed"</formula>
    </cfRule>
  </conditionalFormatting>
  <conditionalFormatting sqref="G6">
    <cfRule type="cellIs" dxfId="145" priority="1383" stopIfTrue="1" operator="equal">
      <formula>"failed"</formula>
    </cfRule>
    <cfRule type="cellIs" dxfId="144" priority="1384" stopIfTrue="1" operator="equal">
      <formula>"passed"</formula>
    </cfRule>
  </conditionalFormatting>
  <conditionalFormatting sqref="I9">
    <cfRule type="cellIs" dxfId="143" priority="1381" stopIfTrue="1" operator="equal">
      <formula>"failed"</formula>
    </cfRule>
    <cfRule type="cellIs" dxfId="142" priority="1382" stopIfTrue="1" operator="equal">
      <formula>"passed"</formula>
    </cfRule>
  </conditionalFormatting>
  <conditionalFormatting sqref="F33:F34">
    <cfRule type="cellIs" dxfId="141" priority="1373" stopIfTrue="1" operator="equal">
      <formula>"failed"</formula>
    </cfRule>
    <cfRule type="cellIs" dxfId="140" priority="1374" stopIfTrue="1" operator="equal">
      <formula>"passed"</formula>
    </cfRule>
  </conditionalFormatting>
  <conditionalFormatting sqref="F37">
    <cfRule type="cellIs" dxfId="139" priority="1369" stopIfTrue="1" operator="equal">
      <formula>"failed"</formula>
    </cfRule>
    <cfRule type="cellIs" dxfId="138" priority="1370" stopIfTrue="1" operator="equal">
      <formula>"passed"</formula>
    </cfRule>
  </conditionalFormatting>
  <conditionalFormatting sqref="F38">
    <cfRule type="cellIs" dxfId="137" priority="1367" stopIfTrue="1" operator="equal">
      <formula>"failed"</formula>
    </cfRule>
    <cfRule type="cellIs" dxfId="136" priority="1368" stopIfTrue="1" operator="equal">
      <formula>"passed"</formula>
    </cfRule>
  </conditionalFormatting>
  <conditionalFormatting sqref="F39">
    <cfRule type="cellIs" dxfId="135" priority="1365" stopIfTrue="1" operator="equal">
      <formula>"failed"</formula>
    </cfRule>
    <cfRule type="cellIs" dxfId="134" priority="1366" stopIfTrue="1" operator="equal">
      <formula>"passed"</formula>
    </cfRule>
  </conditionalFormatting>
  <conditionalFormatting sqref="F40:G40">
    <cfRule type="cellIs" dxfId="133" priority="1363" stopIfTrue="1" operator="equal">
      <formula>"failed"</formula>
    </cfRule>
    <cfRule type="cellIs" dxfId="132" priority="1364" stopIfTrue="1" operator="equal">
      <formula>"passed"</formula>
    </cfRule>
  </conditionalFormatting>
  <conditionalFormatting sqref="F41">
    <cfRule type="cellIs" dxfId="131" priority="1361" stopIfTrue="1" operator="equal">
      <formula>"failed"</formula>
    </cfRule>
    <cfRule type="cellIs" dxfId="130" priority="1362" stopIfTrue="1" operator="equal">
      <formula>"passed"</formula>
    </cfRule>
  </conditionalFormatting>
  <conditionalFormatting sqref="G41">
    <cfRule type="cellIs" dxfId="129" priority="1359" stopIfTrue="1" operator="equal">
      <formula>"failed"</formula>
    </cfRule>
    <cfRule type="cellIs" dxfId="128" priority="1360" stopIfTrue="1" operator="equal">
      <formula>"passed"</formula>
    </cfRule>
  </conditionalFormatting>
  <conditionalFormatting sqref="F42">
    <cfRule type="cellIs" dxfId="127" priority="1357" stopIfTrue="1" operator="equal">
      <formula>"failed"</formula>
    </cfRule>
    <cfRule type="cellIs" dxfId="126" priority="1358" stopIfTrue="1" operator="equal">
      <formula>"passed"</formula>
    </cfRule>
  </conditionalFormatting>
  <conditionalFormatting sqref="G42">
    <cfRule type="cellIs" dxfId="125" priority="1355" stopIfTrue="1" operator="equal">
      <formula>"failed"</formula>
    </cfRule>
    <cfRule type="cellIs" dxfId="124" priority="1356" stopIfTrue="1" operator="equal">
      <formula>"passed"</formula>
    </cfRule>
  </conditionalFormatting>
  <conditionalFormatting sqref="F43">
    <cfRule type="cellIs" dxfId="123" priority="1353" stopIfTrue="1" operator="equal">
      <formula>"failed"</formula>
    </cfRule>
    <cfRule type="cellIs" dxfId="122" priority="1354" stopIfTrue="1" operator="equal">
      <formula>"passed"</formula>
    </cfRule>
  </conditionalFormatting>
  <conditionalFormatting sqref="G43">
    <cfRule type="cellIs" dxfId="121" priority="1351" stopIfTrue="1" operator="equal">
      <formula>"failed"</formula>
    </cfRule>
    <cfRule type="cellIs" dxfId="120" priority="1352" stopIfTrue="1" operator="equal">
      <formula>"passed"</formula>
    </cfRule>
  </conditionalFormatting>
  <conditionalFormatting sqref="G44">
    <cfRule type="cellIs" dxfId="119" priority="1347" stopIfTrue="1" operator="equal">
      <formula>"failed"</formula>
    </cfRule>
    <cfRule type="cellIs" dxfId="118" priority="1348" stopIfTrue="1" operator="equal">
      <formula>"passed"</formula>
    </cfRule>
  </conditionalFormatting>
  <conditionalFormatting sqref="F44">
    <cfRule type="cellIs" dxfId="117" priority="1343" stopIfTrue="1" operator="equal">
      <formula>"failed"</formula>
    </cfRule>
    <cfRule type="cellIs" dxfId="116" priority="1344" stopIfTrue="1" operator="equal">
      <formula>"passed"</formula>
    </cfRule>
  </conditionalFormatting>
  <conditionalFormatting sqref="F45">
    <cfRule type="cellIs" dxfId="115" priority="1341" stopIfTrue="1" operator="equal">
      <formula>"failed"</formula>
    </cfRule>
    <cfRule type="cellIs" dxfId="114" priority="1342" stopIfTrue="1" operator="equal">
      <formula>"passed"</formula>
    </cfRule>
  </conditionalFormatting>
  <conditionalFormatting sqref="G45">
    <cfRule type="cellIs" dxfId="113" priority="1339" stopIfTrue="1" operator="equal">
      <formula>"failed"</formula>
    </cfRule>
    <cfRule type="cellIs" dxfId="112" priority="1340" stopIfTrue="1" operator="equal">
      <formula>"passed"</formula>
    </cfRule>
  </conditionalFormatting>
  <conditionalFormatting sqref="F47">
    <cfRule type="cellIs" dxfId="107" priority="1333" stopIfTrue="1" operator="equal">
      <formula>"failed"</formula>
    </cfRule>
    <cfRule type="cellIs" dxfId="106" priority="1334" stopIfTrue="1" operator="equal">
      <formula>"passed"</formula>
    </cfRule>
  </conditionalFormatting>
  <conditionalFormatting sqref="G47">
    <cfRule type="cellIs" dxfId="105" priority="1331" stopIfTrue="1" operator="equal">
      <formula>"failed"</formula>
    </cfRule>
    <cfRule type="cellIs" dxfId="104" priority="1332" stopIfTrue="1" operator="equal">
      <formula>"passed"</formula>
    </cfRule>
  </conditionalFormatting>
  <conditionalFormatting sqref="F48">
    <cfRule type="cellIs" dxfId="103" priority="1329" stopIfTrue="1" operator="equal">
      <formula>"failed"</formula>
    </cfRule>
    <cfRule type="cellIs" dxfId="102" priority="1330" stopIfTrue="1" operator="equal">
      <formula>"passed"</formula>
    </cfRule>
  </conditionalFormatting>
  <conditionalFormatting sqref="G48">
    <cfRule type="cellIs" dxfId="101" priority="1327" stopIfTrue="1" operator="equal">
      <formula>"failed"</formula>
    </cfRule>
    <cfRule type="cellIs" dxfId="100" priority="1328" stopIfTrue="1" operator="equal">
      <formula>"passed"</formula>
    </cfRule>
  </conditionalFormatting>
  <conditionalFormatting sqref="F49:G49">
    <cfRule type="cellIs" dxfId="99" priority="1325" stopIfTrue="1" operator="equal">
      <formula>"failed"</formula>
    </cfRule>
    <cfRule type="cellIs" dxfId="98" priority="1326" stopIfTrue="1" operator="equal">
      <formula>"passed"</formula>
    </cfRule>
  </conditionalFormatting>
  <conditionalFormatting sqref="F50">
    <cfRule type="cellIs" dxfId="97" priority="1323" stopIfTrue="1" operator="equal">
      <formula>"failed"</formula>
    </cfRule>
    <cfRule type="cellIs" dxfId="96" priority="1324" stopIfTrue="1" operator="equal">
      <formula>"passed"</formula>
    </cfRule>
  </conditionalFormatting>
  <conditionalFormatting sqref="G50">
    <cfRule type="cellIs" dxfId="95" priority="1321" stopIfTrue="1" operator="equal">
      <formula>"failed"</formula>
    </cfRule>
    <cfRule type="cellIs" dxfId="94" priority="1322" stopIfTrue="1" operator="equal">
      <formula>"passed"</formula>
    </cfRule>
  </conditionalFormatting>
  <conditionalFormatting sqref="F51">
    <cfRule type="cellIs" dxfId="93" priority="1319" stopIfTrue="1" operator="equal">
      <formula>"failed"</formula>
    </cfRule>
    <cfRule type="cellIs" dxfId="92" priority="1320" stopIfTrue="1" operator="equal">
      <formula>"passed"</formula>
    </cfRule>
  </conditionalFormatting>
  <conditionalFormatting sqref="G51">
    <cfRule type="cellIs" dxfId="91" priority="1317" stopIfTrue="1" operator="equal">
      <formula>"failed"</formula>
    </cfRule>
    <cfRule type="cellIs" dxfId="90" priority="1318" stopIfTrue="1" operator="equal">
      <formula>"passed"</formula>
    </cfRule>
  </conditionalFormatting>
  <conditionalFormatting sqref="F52">
    <cfRule type="cellIs" dxfId="89" priority="1315" stopIfTrue="1" operator="equal">
      <formula>"failed"</formula>
    </cfRule>
    <cfRule type="cellIs" dxfId="88" priority="1316" stopIfTrue="1" operator="equal">
      <formula>"passed"</formula>
    </cfRule>
  </conditionalFormatting>
  <conditionalFormatting sqref="G52">
    <cfRule type="cellIs" dxfId="87" priority="1313" stopIfTrue="1" operator="equal">
      <formula>"failed"</formula>
    </cfRule>
    <cfRule type="cellIs" dxfId="86" priority="1314" stopIfTrue="1" operator="equal">
      <formula>"passed"</formula>
    </cfRule>
  </conditionalFormatting>
  <conditionalFormatting sqref="F53">
    <cfRule type="cellIs" dxfId="85" priority="1311" stopIfTrue="1" operator="equal">
      <formula>"failed"</formula>
    </cfRule>
    <cfRule type="cellIs" dxfId="84" priority="1312" stopIfTrue="1" operator="equal">
      <formula>"passed"</formula>
    </cfRule>
  </conditionalFormatting>
  <conditionalFormatting sqref="G53">
    <cfRule type="cellIs" dxfId="83" priority="1309" stopIfTrue="1" operator="equal">
      <formula>"failed"</formula>
    </cfRule>
    <cfRule type="cellIs" dxfId="82" priority="1310" stopIfTrue="1" operator="equal">
      <formula>"passed"</formula>
    </cfRule>
  </conditionalFormatting>
  <conditionalFormatting sqref="F54">
    <cfRule type="cellIs" dxfId="81" priority="1307" stopIfTrue="1" operator="equal">
      <formula>"failed"</formula>
    </cfRule>
    <cfRule type="cellIs" dxfId="80" priority="1308" stopIfTrue="1" operator="equal">
      <formula>"passed"</formula>
    </cfRule>
  </conditionalFormatting>
  <conditionalFormatting sqref="G54">
    <cfRule type="cellIs" dxfId="79" priority="1305" stopIfTrue="1" operator="equal">
      <formula>"failed"</formula>
    </cfRule>
    <cfRule type="cellIs" dxfId="78" priority="1306" stopIfTrue="1" operator="equal">
      <formula>"passed"</formula>
    </cfRule>
  </conditionalFormatting>
  <conditionalFormatting sqref="F55">
    <cfRule type="cellIs" dxfId="77" priority="1303" stopIfTrue="1" operator="equal">
      <formula>"failed"</formula>
    </cfRule>
    <cfRule type="cellIs" dxfId="76" priority="1304" stopIfTrue="1" operator="equal">
      <formula>"passed"</formula>
    </cfRule>
  </conditionalFormatting>
  <conditionalFormatting sqref="G55">
    <cfRule type="cellIs" dxfId="75" priority="1301" stopIfTrue="1" operator="equal">
      <formula>"failed"</formula>
    </cfRule>
    <cfRule type="cellIs" dxfId="74" priority="1302" stopIfTrue="1" operator="equal">
      <formula>"passed"</formula>
    </cfRule>
  </conditionalFormatting>
  <conditionalFormatting sqref="F56">
    <cfRule type="cellIs" dxfId="73" priority="1299" stopIfTrue="1" operator="equal">
      <formula>"failed"</formula>
    </cfRule>
    <cfRule type="cellIs" dxfId="72" priority="1300" stopIfTrue="1" operator="equal">
      <formula>"passed"</formula>
    </cfRule>
  </conditionalFormatting>
  <conditionalFormatting sqref="G56">
    <cfRule type="cellIs" dxfId="71" priority="1297" stopIfTrue="1" operator="equal">
      <formula>"failed"</formula>
    </cfRule>
    <cfRule type="cellIs" dxfId="70" priority="1298" stopIfTrue="1" operator="equal">
      <formula>"passed"</formula>
    </cfRule>
  </conditionalFormatting>
  <conditionalFormatting sqref="F57">
    <cfRule type="cellIs" dxfId="69" priority="1295" stopIfTrue="1" operator="equal">
      <formula>"failed"</formula>
    </cfRule>
    <cfRule type="cellIs" dxfId="68" priority="1296" stopIfTrue="1" operator="equal">
      <formula>"passed"</formula>
    </cfRule>
  </conditionalFormatting>
  <conditionalFormatting sqref="F58">
    <cfRule type="cellIs" dxfId="67" priority="1293" stopIfTrue="1" operator="equal">
      <formula>"failed"</formula>
    </cfRule>
    <cfRule type="cellIs" dxfId="66" priority="1294" stopIfTrue="1" operator="equal">
      <formula>"passed"</formula>
    </cfRule>
  </conditionalFormatting>
  <conditionalFormatting sqref="G57">
    <cfRule type="cellIs" dxfId="65" priority="1291" stopIfTrue="1" operator="equal">
      <formula>"failed"</formula>
    </cfRule>
    <cfRule type="cellIs" dxfId="64" priority="1292" stopIfTrue="1" operator="equal">
      <formula>"passed"</formula>
    </cfRule>
  </conditionalFormatting>
  <conditionalFormatting sqref="F59">
    <cfRule type="cellIs" dxfId="63" priority="1289" stopIfTrue="1" operator="equal">
      <formula>"failed"</formula>
    </cfRule>
    <cfRule type="cellIs" dxfId="62" priority="1290" stopIfTrue="1" operator="equal">
      <formula>"passed"</formula>
    </cfRule>
  </conditionalFormatting>
  <conditionalFormatting sqref="G59">
    <cfRule type="cellIs" dxfId="61" priority="1287" stopIfTrue="1" operator="equal">
      <formula>"failed"</formula>
    </cfRule>
    <cfRule type="cellIs" dxfId="60" priority="1288" stopIfTrue="1" operator="equal">
      <formula>"passed"</formula>
    </cfRule>
  </conditionalFormatting>
  <conditionalFormatting sqref="F60">
    <cfRule type="cellIs" dxfId="59" priority="1285" stopIfTrue="1" operator="equal">
      <formula>"failed"</formula>
    </cfRule>
    <cfRule type="cellIs" dxfId="58" priority="1286" stopIfTrue="1" operator="equal">
      <formula>"passed"</formula>
    </cfRule>
  </conditionalFormatting>
  <conditionalFormatting sqref="G60">
    <cfRule type="cellIs" dxfId="57" priority="1283" stopIfTrue="1" operator="equal">
      <formula>"failed"</formula>
    </cfRule>
    <cfRule type="cellIs" dxfId="56" priority="1284" stopIfTrue="1" operator="equal">
      <formula>"passed"</formula>
    </cfRule>
  </conditionalFormatting>
  <conditionalFormatting sqref="F61">
    <cfRule type="cellIs" dxfId="55" priority="1281" stopIfTrue="1" operator="equal">
      <formula>"failed"</formula>
    </cfRule>
    <cfRule type="cellIs" dxfId="54" priority="1282" stopIfTrue="1" operator="equal">
      <formula>"passed"</formula>
    </cfRule>
  </conditionalFormatting>
  <conditionalFormatting sqref="G61">
    <cfRule type="cellIs" dxfId="53" priority="1279" stopIfTrue="1" operator="equal">
      <formula>"failed"</formula>
    </cfRule>
    <cfRule type="cellIs" dxfId="52" priority="1280" stopIfTrue="1" operator="equal">
      <formula>"passed"</formula>
    </cfRule>
  </conditionalFormatting>
  <conditionalFormatting sqref="F62">
    <cfRule type="cellIs" dxfId="51" priority="1277" stopIfTrue="1" operator="equal">
      <formula>"failed"</formula>
    </cfRule>
    <cfRule type="cellIs" dxfId="50" priority="1278" stopIfTrue="1" operator="equal">
      <formula>"passed"</formula>
    </cfRule>
  </conditionalFormatting>
  <conditionalFormatting sqref="G62">
    <cfRule type="cellIs" dxfId="49" priority="1275" stopIfTrue="1" operator="equal">
      <formula>"failed"</formula>
    </cfRule>
    <cfRule type="cellIs" dxfId="48" priority="1276" stopIfTrue="1" operator="equal">
      <formula>"passed"</formula>
    </cfRule>
  </conditionalFormatting>
  <conditionalFormatting sqref="F63">
    <cfRule type="cellIs" dxfId="47" priority="1273" stopIfTrue="1" operator="equal">
      <formula>"failed"</formula>
    </cfRule>
    <cfRule type="cellIs" dxfId="46" priority="1274" stopIfTrue="1" operator="equal">
      <formula>"passed"</formula>
    </cfRule>
  </conditionalFormatting>
  <conditionalFormatting sqref="G63">
    <cfRule type="cellIs" dxfId="45" priority="1271" stopIfTrue="1" operator="equal">
      <formula>"failed"</formula>
    </cfRule>
    <cfRule type="cellIs" dxfId="44" priority="1272" stopIfTrue="1" operator="equal">
      <formula>"passed"</formula>
    </cfRule>
  </conditionalFormatting>
  <conditionalFormatting sqref="F64:G64">
    <cfRule type="cellIs" dxfId="43" priority="1269" stopIfTrue="1" operator="equal">
      <formula>"failed"</formula>
    </cfRule>
    <cfRule type="cellIs" dxfId="42" priority="1270" stopIfTrue="1" operator="equal">
      <formula>"passed"</formula>
    </cfRule>
  </conditionalFormatting>
  <conditionalFormatting sqref="F65:F66">
    <cfRule type="cellIs" dxfId="41" priority="1267" stopIfTrue="1" operator="equal">
      <formula>"failed"</formula>
    </cfRule>
    <cfRule type="cellIs" dxfId="40" priority="1268" stopIfTrue="1" operator="equal">
      <formula>"passed"</formula>
    </cfRule>
  </conditionalFormatting>
  <conditionalFormatting sqref="G65:G66">
    <cfRule type="cellIs" dxfId="39" priority="1265" stopIfTrue="1" operator="equal">
      <formula>"failed"</formula>
    </cfRule>
    <cfRule type="cellIs" dxfId="38" priority="1266" stopIfTrue="1" operator="equal">
      <formula>"passed"</formula>
    </cfRule>
  </conditionalFormatting>
  <conditionalFormatting sqref="F68">
    <cfRule type="cellIs" dxfId="37" priority="1263" stopIfTrue="1" operator="equal">
      <formula>"failed"</formula>
    </cfRule>
    <cfRule type="cellIs" dxfId="36" priority="1264" stopIfTrue="1" operator="equal">
      <formula>"passed"</formula>
    </cfRule>
  </conditionalFormatting>
  <conditionalFormatting sqref="G68">
    <cfRule type="cellIs" dxfId="35" priority="1261" stopIfTrue="1" operator="equal">
      <formula>"failed"</formula>
    </cfRule>
    <cfRule type="cellIs" dxfId="34" priority="1262" stopIfTrue="1" operator="equal">
      <formula>"passed"</formula>
    </cfRule>
  </conditionalFormatting>
  <conditionalFormatting sqref="F69">
    <cfRule type="cellIs" dxfId="33" priority="1259" stopIfTrue="1" operator="equal">
      <formula>"failed"</formula>
    </cfRule>
    <cfRule type="cellIs" dxfId="32" priority="1260" stopIfTrue="1" operator="equal">
      <formula>"passed"</formula>
    </cfRule>
  </conditionalFormatting>
  <conditionalFormatting sqref="G69">
    <cfRule type="cellIs" dxfId="31" priority="1257" stopIfTrue="1" operator="equal">
      <formula>"failed"</formula>
    </cfRule>
    <cfRule type="cellIs" dxfId="30" priority="1258" stopIfTrue="1" operator="equal">
      <formula>"passed"</formula>
    </cfRule>
  </conditionalFormatting>
  <conditionalFormatting sqref="F70:F71">
    <cfRule type="cellIs" dxfId="29" priority="1255" stopIfTrue="1" operator="equal">
      <formula>"failed"</formula>
    </cfRule>
    <cfRule type="cellIs" dxfId="28" priority="1256" stopIfTrue="1" operator="equal">
      <formula>"passed"</formula>
    </cfRule>
  </conditionalFormatting>
  <conditionalFormatting sqref="F72">
    <cfRule type="cellIs" dxfId="27" priority="1253" stopIfTrue="1" operator="equal">
      <formula>"failed"</formula>
    </cfRule>
    <cfRule type="cellIs" dxfId="26" priority="1254" stopIfTrue="1" operator="equal">
      <formula>"passed"</formula>
    </cfRule>
  </conditionalFormatting>
  <conditionalFormatting sqref="F73">
    <cfRule type="cellIs" dxfId="25" priority="1251" stopIfTrue="1" operator="equal">
      <formula>"failed"</formula>
    </cfRule>
    <cfRule type="cellIs" dxfId="24" priority="1252" stopIfTrue="1" operator="equal">
      <formula>"passed"</formula>
    </cfRule>
  </conditionalFormatting>
  <conditionalFormatting sqref="G73">
    <cfRule type="cellIs" dxfId="23" priority="1249" stopIfTrue="1" operator="equal">
      <formula>"failed"</formula>
    </cfRule>
    <cfRule type="cellIs" dxfId="22" priority="1250" stopIfTrue="1" operator="equal">
      <formula>"passed"</formula>
    </cfRule>
  </conditionalFormatting>
  <conditionalFormatting sqref="F74">
    <cfRule type="cellIs" dxfId="21" priority="1247" stopIfTrue="1" operator="equal">
      <formula>"failed"</formula>
    </cfRule>
    <cfRule type="cellIs" dxfId="20" priority="1248" stopIfTrue="1" operator="equal">
      <formula>"passed"</formula>
    </cfRule>
  </conditionalFormatting>
  <conditionalFormatting sqref="G74">
    <cfRule type="cellIs" dxfId="19" priority="1245" stopIfTrue="1" operator="equal">
      <formula>"failed"</formula>
    </cfRule>
    <cfRule type="cellIs" dxfId="18" priority="1246" stopIfTrue="1" operator="equal">
      <formula>"passed"</formula>
    </cfRule>
  </conditionalFormatting>
  <conditionalFormatting sqref="F75">
    <cfRule type="cellIs" dxfId="17" priority="1243" stopIfTrue="1" operator="equal">
      <formula>"failed"</formula>
    </cfRule>
    <cfRule type="cellIs" dxfId="16" priority="1244" stopIfTrue="1" operator="equal">
      <formula>"passed"</formula>
    </cfRule>
  </conditionalFormatting>
  <conditionalFormatting sqref="G75">
    <cfRule type="cellIs" dxfId="15" priority="1241" stopIfTrue="1" operator="equal">
      <formula>"failed"</formula>
    </cfRule>
    <cfRule type="cellIs" dxfId="14" priority="1242" stopIfTrue="1" operator="equal">
      <formula>"passed"</formula>
    </cfRule>
  </conditionalFormatting>
  <conditionalFormatting sqref="F76">
    <cfRule type="cellIs" dxfId="13" priority="1239" stopIfTrue="1" operator="equal">
      <formula>"failed"</formula>
    </cfRule>
    <cfRule type="cellIs" dxfId="12" priority="1240" stopIfTrue="1" operator="equal">
      <formula>"passed"</formula>
    </cfRule>
  </conditionalFormatting>
  <conditionalFormatting sqref="G76">
    <cfRule type="cellIs" dxfId="11" priority="1237" stopIfTrue="1" operator="equal">
      <formula>"failed"</formula>
    </cfRule>
    <cfRule type="cellIs" dxfId="10" priority="1238" stopIfTrue="1" operator="equal">
      <formula>"passed"</formula>
    </cfRule>
  </conditionalFormatting>
  <conditionalFormatting sqref="I19 F19">
    <cfRule type="cellIs" dxfId="9" priority="3" stopIfTrue="1" operator="equal">
      <formula>"failed"</formula>
    </cfRule>
    <cfRule type="cellIs" dxfId="8" priority="4" stopIfTrue="1" operator="equal">
      <formula>"passed"</formula>
    </cfRule>
  </conditionalFormatting>
  <conditionalFormatting sqref="F25 H25:I25">
    <cfRule type="cellIs" dxfId="7" priority="1" stopIfTrue="1" operator="equal">
      <formula>"failed"</formula>
    </cfRule>
    <cfRule type="cellIs" dxfId="6" priority="2" stopIfTrue="1" operator="equal">
      <formula>"passed"</formula>
    </cfRule>
  </conditionalFormatting>
  <pageMargins left="0.74803149606299213" right="0.39370078740157483" top="0.98425196850393704" bottom="0.98425196850393704" header="0.51181102362204722" footer="0.51181102362204722"/>
  <pageSetup paperSize="9" scale="61" orientation="portrait" r:id="rId1"/>
  <headerFooter alignWithMargins="0">
    <oddHeader>&amp;LWG.RND.5.0051 4.0
10/07/2014&amp;CVTP: Validation Test Plan
Released</oddHeader>
    <oddFooter>&amp;LGemalto Private&amp;CValidation Test Plan [Product/Platform] [Internal Use Only]</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election activeCell="F15" sqref="F15"/>
    </sheetView>
  </sheetViews>
  <sheetFormatPr defaultRowHeight="13.2" x14ac:dyDescent="0.25"/>
  <cols>
    <col min="1" max="1" width="23.21875" customWidth="1"/>
    <col min="2" max="2" width="22.44140625" customWidth="1"/>
  </cols>
  <sheetData>
    <row r="1" spans="1:2" x14ac:dyDescent="0.25">
      <c r="A1" s="2" t="s">
        <v>287</v>
      </c>
      <c r="B1" s="2" t="s">
        <v>288</v>
      </c>
    </row>
    <row r="2" spans="1:2" x14ac:dyDescent="0.25">
      <c r="A2" s="107" t="s">
        <v>274</v>
      </c>
      <c r="B2" t="s">
        <v>242</v>
      </c>
    </row>
    <row r="3" spans="1:2" x14ac:dyDescent="0.25">
      <c r="A3" s="107" t="s">
        <v>275</v>
      </c>
      <c r="B3" t="s">
        <v>234</v>
      </c>
    </row>
    <row r="4" spans="1:2" x14ac:dyDescent="0.25">
      <c r="A4" s="107" t="s">
        <v>276</v>
      </c>
      <c r="B4" t="s">
        <v>235</v>
      </c>
    </row>
    <row r="5" spans="1:2" x14ac:dyDescent="0.25">
      <c r="A5" s="107" t="s">
        <v>277</v>
      </c>
      <c r="B5" t="s">
        <v>236</v>
      </c>
    </row>
    <row r="6" spans="1:2" x14ac:dyDescent="0.25">
      <c r="A6" s="107" t="s">
        <v>278</v>
      </c>
      <c r="B6" t="s">
        <v>237</v>
      </c>
    </row>
    <row r="7" spans="1:2" x14ac:dyDescent="0.25">
      <c r="A7" s="107" t="s">
        <v>279</v>
      </c>
      <c r="B7" t="s">
        <v>238</v>
      </c>
    </row>
    <row r="8" spans="1:2" x14ac:dyDescent="0.25">
      <c r="A8" s="107" t="s">
        <v>280</v>
      </c>
      <c r="B8" t="s">
        <v>239</v>
      </c>
    </row>
    <row r="9" spans="1:2" x14ac:dyDescent="0.25">
      <c r="A9" s="107" t="s">
        <v>281</v>
      </c>
      <c r="B9" t="s">
        <v>240</v>
      </c>
    </row>
    <row r="10" spans="1:2" x14ac:dyDescent="0.25">
      <c r="A10" s="107" t="s">
        <v>282</v>
      </c>
      <c r="B10" t="s">
        <v>241</v>
      </c>
    </row>
    <row r="11" spans="1:2" x14ac:dyDescent="0.25">
      <c r="A11" s="107" t="s">
        <v>283</v>
      </c>
    </row>
    <row r="12" spans="1:2" x14ac:dyDescent="0.25">
      <c r="A12" s="107" t="s">
        <v>387</v>
      </c>
    </row>
    <row r="13" spans="1:2" x14ac:dyDescent="0.25">
      <c r="A13" s="107" t="s">
        <v>388</v>
      </c>
    </row>
    <row r="14" spans="1:2" x14ac:dyDescent="0.25">
      <c r="A14" s="107" t="s">
        <v>286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7"/>
  <sheetViews>
    <sheetView topLeftCell="A19" workbookViewId="0">
      <selection activeCell="A19" sqref="A19"/>
    </sheetView>
  </sheetViews>
  <sheetFormatPr defaultRowHeight="13.2" x14ac:dyDescent="0.25"/>
  <cols>
    <col min="1" max="1" width="46.88671875" customWidth="1"/>
    <col min="2" max="2" width="44.109375" bestFit="1" customWidth="1"/>
    <col min="3" max="3" width="2.5546875" customWidth="1"/>
    <col min="4" max="4" width="28" bestFit="1" customWidth="1"/>
    <col min="5" max="5" width="2.88671875" customWidth="1"/>
    <col min="6" max="6" width="22.5546875" bestFit="1" customWidth="1"/>
    <col min="7" max="7" width="2.33203125" customWidth="1"/>
    <col min="8" max="8" width="38.33203125" bestFit="1" customWidth="1"/>
    <col min="9" max="9" width="3.109375" customWidth="1"/>
    <col min="10" max="10" width="29.6640625" bestFit="1" customWidth="1"/>
    <col min="11" max="11" width="3.88671875" customWidth="1"/>
    <col min="12" max="12" width="32.88671875" bestFit="1" customWidth="1"/>
  </cols>
  <sheetData>
    <row r="1" spans="1:2" x14ac:dyDescent="0.25">
      <c r="A1" s="177" t="s">
        <v>315</v>
      </c>
      <c r="B1" s="177"/>
    </row>
    <row r="2" spans="1:2" x14ac:dyDescent="0.25">
      <c r="A2" s="2" t="s">
        <v>287</v>
      </c>
      <c r="B2" s="2" t="s">
        <v>288</v>
      </c>
    </row>
    <row r="3" spans="1:2" x14ac:dyDescent="0.25">
      <c r="A3" t="s">
        <v>274</v>
      </c>
      <c r="B3" t="s">
        <v>242</v>
      </c>
    </row>
    <row r="4" spans="1:2" x14ac:dyDescent="0.25">
      <c r="A4" t="s">
        <v>275</v>
      </c>
      <c r="B4" t="s">
        <v>234</v>
      </c>
    </row>
    <row r="5" spans="1:2" x14ac:dyDescent="0.25">
      <c r="A5" t="s">
        <v>276</v>
      </c>
      <c r="B5" t="s">
        <v>235</v>
      </c>
    </row>
    <row r="6" spans="1:2" x14ac:dyDescent="0.25">
      <c r="A6" t="s">
        <v>277</v>
      </c>
      <c r="B6" t="s">
        <v>236</v>
      </c>
    </row>
    <row r="7" spans="1:2" x14ac:dyDescent="0.25">
      <c r="A7" t="s">
        <v>278</v>
      </c>
      <c r="B7" t="s">
        <v>237</v>
      </c>
    </row>
    <row r="8" spans="1:2" x14ac:dyDescent="0.25">
      <c r="A8" t="s">
        <v>279</v>
      </c>
      <c r="B8" t="s">
        <v>238</v>
      </c>
    </row>
    <row r="9" spans="1:2" x14ac:dyDescent="0.25">
      <c r="A9" t="s">
        <v>280</v>
      </c>
      <c r="B9" t="s">
        <v>239</v>
      </c>
    </row>
    <row r="10" spans="1:2" x14ac:dyDescent="0.25">
      <c r="A10" t="s">
        <v>281</v>
      </c>
      <c r="B10" t="s">
        <v>240</v>
      </c>
    </row>
    <row r="11" spans="1:2" x14ac:dyDescent="0.25">
      <c r="A11" t="s">
        <v>282</v>
      </c>
      <c r="B11" t="s">
        <v>241</v>
      </c>
    </row>
    <row r="12" spans="1:2" x14ac:dyDescent="0.25">
      <c r="A12" t="s">
        <v>283</v>
      </c>
    </row>
    <row r="13" spans="1:2" x14ac:dyDescent="0.25">
      <c r="A13" s="107" t="s">
        <v>284</v>
      </c>
    </row>
    <row r="14" spans="1:2" x14ac:dyDescent="0.25">
      <c r="A14" t="s">
        <v>285</v>
      </c>
    </row>
    <row r="15" spans="1:2" x14ac:dyDescent="0.25">
      <c r="A15" t="s">
        <v>286</v>
      </c>
    </row>
    <row r="18" spans="1:2" x14ac:dyDescent="0.25">
      <c r="A18" s="177" t="s">
        <v>316</v>
      </c>
      <c r="B18" s="177"/>
    </row>
    <row r="19" spans="1:2" x14ac:dyDescent="0.25">
      <c r="A19" s="2" t="s">
        <v>289</v>
      </c>
      <c r="B19" s="2" t="s">
        <v>295</v>
      </c>
    </row>
    <row r="20" spans="1:2" x14ac:dyDescent="0.25">
      <c r="A20" t="s">
        <v>290</v>
      </c>
      <c r="B20" t="s">
        <v>296</v>
      </c>
    </row>
    <row r="21" spans="1:2" x14ac:dyDescent="0.25">
      <c r="A21" t="s">
        <v>291</v>
      </c>
      <c r="B21" t="s">
        <v>297</v>
      </c>
    </row>
    <row r="22" spans="1:2" x14ac:dyDescent="0.25">
      <c r="A22" t="s">
        <v>292</v>
      </c>
      <c r="B22" t="s">
        <v>298</v>
      </c>
    </row>
    <row r="23" spans="1:2" x14ac:dyDescent="0.25">
      <c r="A23" t="s">
        <v>293</v>
      </c>
    </row>
    <row r="24" spans="1:2" x14ac:dyDescent="0.25">
      <c r="A24" t="s">
        <v>294</v>
      </c>
    </row>
    <row r="27" spans="1:2" x14ac:dyDescent="0.25">
      <c r="A27" s="2" t="s">
        <v>299</v>
      </c>
      <c r="B27" s="2" t="s">
        <v>304</v>
      </c>
    </row>
    <row r="28" spans="1:2" x14ac:dyDescent="0.25">
      <c r="A28" t="s">
        <v>300</v>
      </c>
      <c r="B28" t="s">
        <v>305</v>
      </c>
    </row>
    <row r="29" spans="1:2" x14ac:dyDescent="0.25">
      <c r="A29" t="s">
        <v>301</v>
      </c>
      <c r="B29" t="s">
        <v>306</v>
      </c>
    </row>
    <row r="30" spans="1:2" x14ac:dyDescent="0.25">
      <c r="A30" t="s">
        <v>302</v>
      </c>
      <c r="B30" t="s">
        <v>307</v>
      </c>
    </row>
    <row r="31" spans="1:2" x14ac:dyDescent="0.25">
      <c r="A31" t="s">
        <v>303</v>
      </c>
      <c r="B31" t="s">
        <v>308</v>
      </c>
    </row>
    <row r="32" spans="1:2" x14ac:dyDescent="0.25">
      <c r="B32" t="s">
        <v>309</v>
      </c>
    </row>
    <row r="35" spans="1:2" x14ac:dyDescent="0.25">
      <c r="A35" s="2" t="s">
        <v>310</v>
      </c>
      <c r="B35" s="2" t="s">
        <v>317</v>
      </c>
    </row>
    <row r="36" spans="1:2" x14ac:dyDescent="0.25">
      <c r="A36" t="s">
        <v>311</v>
      </c>
      <c r="B36" t="s">
        <v>318</v>
      </c>
    </row>
    <row r="37" spans="1:2" x14ac:dyDescent="0.25">
      <c r="A37" t="s">
        <v>312</v>
      </c>
      <c r="B37" t="s">
        <v>319</v>
      </c>
    </row>
    <row r="38" spans="1:2" x14ac:dyDescent="0.25">
      <c r="A38" t="s">
        <v>313</v>
      </c>
      <c r="B38" t="s">
        <v>320</v>
      </c>
    </row>
    <row r="39" spans="1:2" x14ac:dyDescent="0.25">
      <c r="A39" t="s">
        <v>314</v>
      </c>
      <c r="B39" t="s">
        <v>321</v>
      </c>
    </row>
    <row r="40" spans="1:2" x14ac:dyDescent="0.25">
      <c r="B40" t="s">
        <v>322</v>
      </c>
    </row>
    <row r="43" spans="1:2" x14ac:dyDescent="0.25">
      <c r="A43" s="2" t="s">
        <v>326</v>
      </c>
    </row>
    <row r="44" spans="1:2" x14ac:dyDescent="0.25">
      <c r="A44" s="107" t="s">
        <v>327</v>
      </c>
    </row>
    <row r="45" spans="1:2" x14ac:dyDescent="0.25">
      <c r="A45" s="107" t="s">
        <v>328</v>
      </c>
    </row>
    <row r="46" spans="1:2" x14ac:dyDescent="0.25">
      <c r="A46" s="107" t="s">
        <v>329</v>
      </c>
    </row>
    <row r="47" spans="1:2" x14ac:dyDescent="0.25">
      <c r="A47" s="107" t="s">
        <v>330</v>
      </c>
    </row>
  </sheetData>
  <mergeCells count="2">
    <mergeCell ref="A1:B1"/>
    <mergeCell ref="A18:B18"/>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
  <sheetViews>
    <sheetView workbookViewId="0">
      <selection activeCell="A2" sqref="A2:A10"/>
    </sheetView>
  </sheetViews>
  <sheetFormatPr defaultRowHeight="13.2" x14ac:dyDescent="0.25"/>
  <cols>
    <col min="1" max="1" width="30.88671875" customWidth="1"/>
    <col min="2" max="2" width="40.44140625" customWidth="1"/>
  </cols>
  <sheetData>
    <row r="1" spans="1:2" x14ac:dyDescent="0.25">
      <c r="A1" s="2" t="s">
        <v>232</v>
      </c>
      <c r="B1" s="2" t="s">
        <v>233</v>
      </c>
    </row>
    <row r="2" spans="1:2" x14ac:dyDescent="0.25">
      <c r="A2" t="s">
        <v>242</v>
      </c>
      <c r="B2" t="s">
        <v>243</v>
      </c>
    </row>
    <row r="3" spans="1:2" x14ac:dyDescent="0.25">
      <c r="A3" t="s">
        <v>234</v>
      </c>
      <c r="B3" s="107" t="s">
        <v>244</v>
      </c>
    </row>
    <row r="4" spans="1:2" x14ac:dyDescent="0.25">
      <c r="A4" t="s">
        <v>235</v>
      </c>
      <c r="B4" s="107" t="s">
        <v>245</v>
      </c>
    </row>
    <row r="5" spans="1:2" x14ac:dyDescent="0.25">
      <c r="A5" t="s">
        <v>236</v>
      </c>
      <c r="B5" s="107" t="s">
        <v>246</v>
      </c>
    </row>
    <row r="6" spans="1:2" x14ac:dyDescent="0.25">
      <c r="A6" t="s">
        <v>237</v>
      </c>
      <c r="B6" t="s">
        <v>243</v>
      </c>
    </row>
    <row r="7" spans="1:2" x14ac:dyDescent="0.25">
      <c r="A7" t="s">
        <v>238</v>
      </c>
      <c r="B7" t="s">
        <v>243</v>
      </c>
    </row>
    <row r="8" spans="1:2" x14ac:dyDescent="0.25">
      <c r="A8" t="s">
        <v>239</v>
      </c>
      <c r="B8" s="107" t="s">
        <v>247</v>
      </c>
    </row>
    <row r="9" spans="1:2" x14ac:dyDescent="0.25">
      <c r="A9" t="s">
        <v>240</v>
      </c>
      <c r="B9" s="107" t="s">
        <v>248</v>
      </c>
    </row>
    <row r="10" spans="1:2" x14ac:dyDescent="0.25">
      <c r="A10" t="s">
        <v>241</v>
      </c>
      <c r="B10" s="107" t="s">
        <v>247</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I6"/>
  <sheetViews>
    <sheetView workbookViewId="0">
      <selection activeCell="C23" sqref="C23"/>
    </sheetView>
  </sheetViews>
  <sheetFormatPr defaultColWidth="8.6640625" defaultRowHeight="13.2" x14ac:dyDescent="0.25"/>
  <cols>
    <col min="1" max="1" width="8.6640625" customWidth="1"/>
    <col min="2" max="2" width="24" customWidth="1"/>
    <col min="3" max="3" width="16.44140625" customWidth="1"/>
    <col min="4" max="4" width="16" customWidth="1"/>
    <col min="5" max="5" width="14" customWidth="1"/>
    <col min="6" max="6" width="13.6640625" customWidth="1"/>
    <col min="7" max="8" width="16.44140625" customWidth="1"/>
    <col min="9" max="9" width="13.6640625" customWidth="1"/>
  </cols>
  <sheetData>
    <row r="1" spans="2:9" x14ac:dyDescent="0.25">
      <c r="B1" s="17"/>
      <c r="C1" s="82"/>
      <c r="D1" s="82"/>
      <c r="E1" s="82"/>
      <c r="F1" s="82"/>
      <c r="G1" s="82"/>
      <c r="H1" s="82"/>
      <c r="I1" s="82"/>
    </row>
    <row r="2" spans="2:9" x14ac:dyDescent="0.25">
      <c r="B2" s="50" t="s">
        <v>92</v>
      </c>
      <c r="C2" s="83"/>
      <c r="D2" s="83"/>
      <c r="E2" s="83"/>
      <c r="F2" s="83"/>
      <c r="G2" s="83"/>
      <c r="H2" s="83"/>
      <c r="I2" s="83"/>
    </row>
    <row r="3" spans="2:9" x14ac:dyDescent="0.25">
      <c r="B3" s="17" t="s">
        <v>89</v>
      </c>
      <c r="C3" s="83"/>
      <c r="D3" s="83"/>
      <c r="E3" s="83"/>
      <c r="F3" s="83"/>
      <c r="G3" s="83"/>
      <c r="H3" s="83"/>
      <c r="I3" s="83"/>
    </row>
    <row r="4" spans="2:9" x14ac:dyDescent="0.25">
      <c r="B4" s="17" t="s">
        <v>90</v>
      </c>
      <c r="C4" s="83"/>
      <c r="D4" s="83"/>
      <c r="E4" s="83"/>
      <c r="F4" s="83"/>
      <c r="G4" s="83"/>
      <c r="H4" s="83"/>
      <c r="I4" s="83"/>
    </row>
    <row r="5" spans="2:9" x14ac:dyDescent="0.25">
      <c r="B5" s="73" t="s">
        <v>63</v>
      </c>
      <c r="C5" s="83"/>
      <c r="D5" s="83"/>
      <c r="E5" s="83"/>
      <c r="F5" s="83"/>
      <c r="G5" s="83"/>
      <c r="H5" s="83"/>
      <c r="I5" s="83"/>
    </row>
    <row r="6" spans="2:9" x14ac:dyDescent="0.25">
      <c r="C6" s="74"/>
      <c r="D6" s="74"/>
      <c r="E6" s="74"/>
      <c r="F6" s="74"/>
      <c r="G6" s="74"/>
      <c r="H6" s="74"/>
      <c r="I6" s="74"/>
    </row>
  </sheetData>
  <customSheetViews>
    <customSheetView guid="{31213FDE-1FC4-4753-AB26-CBCE91AA62C1}">
      <selection activeCell="D4" sqref="D4"/>
      <pageMargins left="0.7" right="0.7" top="0.75" bottom="0.75" header="0.3" footer="0.3"/>
      <pageSetup orientation="portrait"/>
    </customSheetView>
    <customSheetView guid="{EFFDA75A-10D8-45FA-B94E-D29847D61BE9}">
      <selection activeCell="D4" sqref="D4"/>
      <pageMargins left="0.7" right="0.7" top="0.75" bottom="0.75" header="0.3" footer="0.3"/>
      <pageSetup orientation="portrait"/>
    </customSheetView>
  </customSheetViews>
  <conditionalFormatting sqref="C1:G1">
    <cfRule type="cellIs" dxfId="5" priority="13" stopIfTrue="1" operator="equal">
      <formula>"failed"</formula>
    </cfRule>
    <cfRule type="cellIs" dxfId="4" priority="14" stopIfTrue="1" operator="equal">
      <formula>"passed"</formula>
    </cfRule>
  </conditionalFormatting>
  <conditionalFormatting sqref="H1">
    <cfRule type="cellIs" dxfId="3" priority="11" stopIfTrue="1" operator="equal">
      <formula>"failed"</formula>
    </cfRule>
    <cfRule type="cellIs" dxfId="2" priority="12" stopIfTrue="1" operator="equal">
      <formula>"passed"</formula>
    </cfRule>
  </conditionalFormatting>
  <conditionalFormatting sqref="I1">
    <cfRule type="cellIs" dxfId="1" priority="1" stopIfTrue="1" operator="equal">
      <formula>"failed"</formula>
    </cfRule>
    <cfRule type="cellIs" dxfId="0" priority="2" stopIfTrue="1" operator="equal">
      <formula>"passed"</formula>
    </cfRule>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9"/>
  <sheetViews>
    <sheetView workbookViewId="0">
      <selection activeCell="D18" sqref="D18"/>
    </sheetView>
  </sheetViews>
  <sheetFormatPr defaultColWidth="8.6640625" defaultRowHeight="13.2" x14ac:dyDescent="0.25"/>
  <cols>
    <col min="1" max="1" width="15.44140625" customWidth="1"/>
    <col min="2" max="2" width="18.44140625" customWidth="1"/>
    <col min="3" max="3" width="22.33203125" customWidth="1"/>
    <col min="4" max="4" width="22.44140625" customWidth="1"/>
    <col min="5" max="5" width="19.33203125" customWidth="1"/>
    <col min="6" max="6" width="20.33203125" customWidth="1"/>
    <col min="7" max="7" width="0.33203125" customWidth="1"/>
    <col min="8" max="9" width="9.33203125" hidden="1" customWidth="1"/>
    <col min="10" max="10" width="6.6640625" hidden="1" customWidth="1"/>
    <col min="11" max="14" width="9.33203125" hidden="1" customWidth="1"/>
  </cols>
  <sheetData>
    <row r="1" spans="1:14" ht="33.75" customHeight="1" x14ac:dyDescent="0.4">
      <c r="A1" s="178" t="s">
        <v>16</v>
      </c>
      <c r="B1" s="178"/>
      <c r="C1" s="178"/>
      <c r="D1" s="178"/>
      <c r="E1" s="178"/>
      <c r="F1" s="178"/>
      <c r="G1" s="178"/>
      <c r="H1" s="178"/>
      <c r="I1" s="178"/>
      <c r="J1" s="178"/>
      <c r="K1" s="178"/>
      <c r="L1" s="178"/>
      <c r="M1" s="178"/>
      <c r="N1" s="178"/>
    </row>
    <row r="3" spans="1:14" ht="15.6" x14ac:dyDescent="0.3">
      <c r="A3" s="4" t="s">
        <v>18</v>
      </c>
      <c r="B3" s="4" t="s">
        <v>19</v>
      </c>
      <c r="C3" s="4" t="s">
        <v>20</v>
      </c>
      <c r="D3" s="4" t="s">
        <v>23</v>
      </c>
      <c r="E3" s="4" t="s">
        <v>21</v>
      </c>
      <c r="F3" s="4" t="s">
        <v>22</v>
      </c>
      <c r="G3" s="2"/>
      <c r="H3" s="2"/>
      <c r="I3" s="2"/>
      <c r="J3" s="2"/>
      <c r="K3" s="2"/>
      <c r="L3" s="2"/>
      <c r="M3" s="2"/>
      <c r="N3" s="2"/>
    </row>
    <row r="5" spans="1:14" ht="15.6" x14ac:dyDescent="0.3">
      <c r="A5" s="179" t="s">
        <v>17</v>
      </c>
      <c r="B5" s="179"/>
      <c r="C5" s="179"/>
      <c r="D5" s="179"/>
      <c r="E5" s="179"/>
      <c r="F5" s="179"/>
      <c r="G5" s="179"/>
      <c r="H5" s="179"/>
      <c r="I5" s="179"/>
      <c r="J5" s="179"/>
      <c r="K5" s="179"/>
      <c r="L5" s="179"/>
      <c r="M5" s="179"/>
      <c r="N5" s="179"/>
    </row>
    <row r="7" spans="1:14" x14ac:dyDescent="0.25">
      <c r="A7" s="13" t="s">
        <v>47</v>
      </c>
      <c r="B7" s="14" t="s">
        <v>76</v>
      </c>
      <c r="C7" s="14" t="s">
        <v>72</v>
      </c>
      <c r="D7" s="14" t="s">
        <v>71</v>
      </c>
      <c r="E7" s="16"/>
      <c r="F7" s="17"/>
    </row>
    <row r="8" spans="1:14" x14ac:dyDescent="0.25">
      <c r="A8" s="13" t="s">
        <v>48</v>
      </c>
      <c r="B8" s="14" t="s">
        <v>49</v>
      </c>
      <c r="C8" s="15" t="s">
        <v>50</v>
      </c>
      <c r="D8" s="15" t="s">
        <v>51</v>
      </c>
      <c r="E8" s="16"/>
      <c r="F8" s="17"/>
    </row>
    <row r="9" spans="1:14" x14ac:dyDescent="0.25">
      <c r="A9" s="13" t="s">
        <v>48</v>
      </c>
      <c r="B9" s="14" t="s">
        <v>73</v>
      </c>
      <c r="C9" s="14" t="s">
        <v>75</v>
      </c>
      <c r="D9" s="14" t="s">
        <v>74</v>
      </c>
      <c r="E9" s="16"/>
      <c r="F9" s="17"/>
    </row>
  </sheetData>
  <customSheetViews>
    <customSheetView guid="{31213FDE-1FC4-4753-AB26-CBCE91AA62C1}" hiddenColumns="1" state="hidden">
      <selection activeCell="D18" sqref="D18"/>
      <pageMargins left="0.7" right="0.7" top="0.75" bottom="0.75" header="0.3" footer="0.3"/>
      <pageSetup paperSize="9" orientation="portrait" verticalDpi="0"/>
    </customSheetView>
    <customSheetView guid="{EFFDA75A-10D8-45FA-B94E-D29847D61BE9}" hiddenColumns="1" state="hidden">
      <selection activeCell="D18" sqref="D18"/>
      <pageMargins left="0.7" right="0.7" top="0.75" bottom="0.75" header="0.3" footer="0.3"/>
      <pageSetup paperSize="9" orientation="portrait" verticalDpi="0"/>
    </customSheetView>
  </customSheetViews>
  <mergeCells count="2">
    <mergeCell ref="A1:N1"/>
    <mergeCell ref="A5:N5"/>
  </mergeCells>
  <pageMargins left="0.7" right="0.7" top="0.75" bottom="0.75" header="0.3" footer="0.3"/>
  <pageSetup paperSize="9" orientation="portrait" verticalDpi="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vt:lpstr>
      <vt:lpstr>Document</vt:lpstr>
      <vt:lpstr>Summary</vt:lpstr>
      <vt:lpstr>VTR Sanity Tests for Android</vt:lpstr>
      <vt:lpstr>Test Cases</vt:lpstr>
      <vt:lpstr>Threat Agent &amp; Threat values</vt:lpstr>
      <vt:lpstr>Risk-default values</vt:lpstr>
      <vt:lpstr>Threat vs ImpactEval</vt:lpstr>
      <vt:lpstr>Report</vt:lpstr>
      <vt:lpstr>Environment</vt:lpstr>
    </vt:vector>
  </TitlesOfParts>
  <Company>Gemalto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Validation Test Plan</dc:title>
  <dc:subject>WG.RND.5.0051</dc:subject>
  <dc:creator>CPierret</dc:creator>
  <cp:lastModifiedBy>Siah Alvin</cp:lastModifiedBy>
  <cp:lastPrinted>2015-03-03T12:44:00Z</cp:lastPrinted>
  <dcterms:created xsi:type="dcterms:W3CDTF">2004-03-03T13:14:58Z</dcterms:created>
  <dcterms:modified xsi:type="dcterms:W3CDTF">2023-06-07T03:32:30Z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duct Name">
    <vt:lpwstr>For Scrambled Keypad/Pinpad</vt:lpwstr>
  </property>
  <property fmtid="{D5CDD505-2E9C-101B-9397-08002B2CF9AE}" pid="3" name="Target">
    <vt:lpwstr>System/Unit/Both</vt:lpwstr>
  </property>
  <property fmtid="{D5CDD505-2E9C-101B-9397-08002B2CF9AE}" pid="4" name="Scope">
    <vt:lpwstr>Whole project</vt:lpwstr>
  </property>
  <property fmtid="{D5CDD505-2E9C-101B-9397-08002B2CF9AE}" pid="5" name="doc reference">
    <vt:lpwstr>VTP01</vt:lpwstr>
  </property>
  <property fmtid="{D5CDD505-2E9C-101B-9397-08002B2CF9AE}" pid="6" name="security level">
    <vt:lpwstr>Gemalto Private</vt:lpwstr>
  </property>
  <property fmtid="{D5CDD505-2E9C-101B-9397-08002B2CF9AE}" pid="7" name="Document">
    <vt:lpwstr>Validation Test Plan</vt:lpwstr>
  </property>
  <property fmtid="{D5CDD505-2E9C-101B-9397-08002B2CF9AE}" pid="8" name="Pages">
    <vt:lpwstr>[X]</vt:lpwstr>
  </property>
  <property fmtid="{D5CDD505-2E9C-101B-9397-08002B2CF9AE}" pid="9" name="Release">
    <vt:lpwstr>1.0</vt:lpwstr>
  </property>
  <property fmtid="{D5CDD505-2E9C-101B-9397-08002B2CF9AE}" pid="10" name="Sesam_DocTitle">
    <vt:lpwstr>VTP: Validation Test Plan</vt:lpwstr>
  </property>
  <property fmtid="{D5CDD505-2E9C-101B-9397-08002B2CF9AE}" pid="11" name="Sesam_DocState">
    <vt:lpwstr>Released</vt:lpwstr>
  </property>
  <property fmtid="{D5CDD505-2E9C-101B-9397-08002B2CF9AE}" pid="12" name="Sesam_DocRef">
    <vt:lpwstr>WG.RND.5.0051</vt:lpwstr>
  </property>
  <property fmtid="{D5CDD505-2E9C-101B-9397-08002B2CF9AE}" pid="13" name="Sesam_DocVer">
    <vt:lpwstr>4.0</vt:lpwstr>
  </property>
  <property fmtid="{D5CDD505-2E9C-101B-9397-08002B2CF9AE}" pid="14" name="Sesam_DocValidityDate">
    <vt:lpwstr>10/07/2014</vt:lpwstr>
  </property>
  <property fmtid="{D5CDD505-2E9C-101B-9397-08002B2CF9AE}" pid="15" name="Sesam_DocClassification">
    <vt:lpwstr>Gemalto Private</vt:lpwstr>
  </property>
  <property fmtid="{D5CDD505-2E9C-101B-9397-08002B2CF9AE}" pid="16" name="Sesam_DocApproverName_1">
    <vt:lpwstr>Thierry FRANCO-ROGELIO</vt:lpwstr>
  </property>
  <property fmtid="{D5CDD505-2E9C-101B-9397-08002B2CF9AE}" pid="17" name="Sesam_DocApproverName_2">
    <vt:lpwstr/>
  </property>
  <property fmtid="{D5CDD505-2E9C-101B-9397-08002B2CF9AE}" pid="18" name="Sesam_DocApproverName_3">
    <vt:lpwstr/>
  </property>
  <property fmtid="{D5CDD505-2E9C-101B-9397-08002B2CF9AE}" pid="19" name="Sesam_DocApproverName_4">
    <vt:lpwstr/>
  </property>
  <property fmtid="{D5CDD505-2E9C-101B-9397-08002B2CF9AE}" pid="20" name="Sesam_DocApproverName_5">
    <vt:lpwstr/>
  </property>
  <property fmtid="{D5CDD505-2E9C-101B-9397-08002B2CF9AE}" pid="21" name="Sesam_DocApproverAction_1">
    <vt:lpwstr>Approved</vt:lpwstr>
  </property>
  <property fmtid="{D5CDD505-2E9C-101B-9397-08002B2CF9AE}" pid="22" name="Sesam_DocApproverAction_2">
    <vt:lpwstr/>
  </property>
  <property fmtid="{D5CDD505-2E9C-101B-9397-08002B2CF9AE}" pid="23" name="Sesam_DocApproverAction_3">
    <vt:lpwstr/>
  </property>
  <property fmtid="{D5CDD505-2E9C-101B-9397-08002B2CF9AE}" pid="24" name="Sesam_DocApproverAction_4">
    <vt:lpwstr/>
  </property>
  <property fmtid="{D5CDD505-2E9C-101B-9397-08002B2CF9AE}" pid="25" name="Sesam_DocApproverAction_5">
    <vt:lpwstr/>
  </property>
  <property fmtid="{D5CDD505-2E9C-101B-9397-08002B2CF9AE}" pid="26" name="Sesam_DocApproverActionDate_1">
    <vt:lpwstr>15/01/2013 11:29:57 CET</vt:lpwstr>
  </property>
  <property fmtid="{D5CDD505-2E9C-101B-9397-08002B2CF9AE}" pid="27" name="Sesam_DocApproverActionDate_2">
    <vt:lpwstr/>
  </property>
  <property fmtid="{D5CDD505-2E9C-101B-9397-08002B2CF9AE}" pid="28" name="Sesam_DocApproverActionDate_3">
    <vt:lpwstr/>
  </property>
  <property fmtid="{D5CDD505-2E9C-101B-9397-08002B2CF9AE}" pid="29" name="Sesam_DocApproverActionDate_4">
    <vt:lpwstr/>
  </property>
  <property fmtid="{D5CDD505-2E9C-101B-9397-08002B2CF9AE}" pid="30" name="Sesam_DocApproverActionDate_5">
    <vt:lpwstr/>
  </property>
</Properties>
</file>